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ookCFG"/>
  <mc:AlternateContent xmlns:mc="http://schemas.openxmlformats.org/markup-compatibility/2006">
    <mc:Choice Requires="x15">
      <x15ac:absPath xmlns:x15ac="http://schemas.microsoft.com/office/spreadsheetml/2010/11/ac" url="D:\projects\SSN Lopatino\Балык\"/>
    </mc:Choice>
  </mc:AlternateContent>
  <bookViews>
    <workbookView xWindow="-105" yWindow="-105" windowWidth="23250" windowHeight="12570" tabRatio="942" firstSheet="20" activeTab="32"/>
  </bookViews>
  <sheets>
    <sheet name="СисИП" sheetId="25" r:id="rId1"/>
    <sheet name="КцСис" sheetId="23" r:id="rId2"/>
    <sheet name="СвязьСис" sheetId="22" r:id="rId3"/>
    <sheet name="СвязьУстрСис" sheetId="47" r:id="rId4"/>
    <sheet name="УСОСис1" sheetId="35" r:id="rId5"/>
    <sheet name="УСОСис2" sheetId="36" r:id="rId6"/>
    <sheet name="PicСис1" sheetId="37" r:id="rId7"/>
    <sheet name="PicСис2" sheetId="38" r:id="rId8"/>
    <sheet name="КоммутаторСис" sheetId="34" r:id="rId9"/>
    <sheet name="СисДП1" sheetId="20" r:id="rId10"/>
    <sheet name="СисДП2" sheetId="21" r:id="rId11"/>
    <sheet name="СисНаЗащ" sheetId="18" r:id="rId12"/>
    <sheet name="СисСтанцЗащ" sheetId="17" r:id="rId13"/>
    <sheet name="СисПЗЗащ" sheetId="28" r:id="rId14"/>
    <sheet name="СисПЗГот" sheetId="27" r:id="rId15"/>
    <sheet name="СисНаГот" sheetId="16" r:id="rId16"/>
    <sheet name="НАсис" sheetId="11" r:id="rId17"/>
    <sheet name="НАсис2" sheetId="15" r:id="rId18"/>
    <sheet name="ВСПОМсис" sheetId="5" r:id="rId19"/>
    <sheet name="ВСПОМсис2" sheetId="14" r:id="rId20"/>
    <sheet name="ЗДВсис" sheetId="6" r:id="rId21"/>
    <sheet name="ЗДВсис2" sheetId="13" r:id="rId22"/>
    <sheet name="РучКардСис" sheetId="12" r:id="rId23"/>
    <sheet name="ТаблСиренСис" sheetId="7" r:id="rId24"/>
    <sheet name="ТаблСиренСис2" sheetId="42" r:id="rId25"/>
    <sheet name="ЗонаСис" sheetId="4" r:id="rId26"/>
    <sheet name="ЗонаСис2" sheetId="29" r:id="rId27"/>
    <sheet name="БдСис" sheetId="30" r:id="rId28"/>
    <sheet name="СОДсис" sheetId="46" r:id="rId29"/>
    <sheet name="РпзвСис" sheetId="31" r:id="rId30"/>
    <sheet name="РВССис" sheetId="32" r:id="rId31"/>
    <sheet name="РВССис2" sheetId="33" r:id="rId32"/>
    <sheet name="НПСсис" sheetId="8" r:id="rId33"/>
    <sheet name="СардДсис" sheetId="48" r:id="rId34"/>
    <sheet name="РДсис" sheetId="49" r:id="rId35"/>
    <sheet name="СардЧсис" sheetId="39" r:id="rId36"/>
    <sheet name="ЧРПсис" sheetId="44" r:id="rId37"/>
    <sheet name="ПИСис" sheetId="3" r:id="rId38"/>
    <sheet name="ПИСис2" sheetId="43" r:id="rId39"/>
    <sheet name="Системный" sheetId="2" r:id="rId40"/>
    <sheet name="SysID" sheetId="10" r:id="rId41"/>
  </sheets>
  <functionGroups builtInGroupCount="18"/>
  <externalReferences>
    <externalReference r:id="rId42"/>
    <externalReference r:id="rId43"/>
    <externalReference r:id="rId44"/>
    <externalReference r:id="rId45"/>
    <externalReference r:id="rId46"/>
    <externalReference r:id="rId47"/>
  </externalReferences>
  <definedNames>
    <definedName name="IerarhiyaUr2" localSheetId="6">[1]Иерархия!$B$2:$B$127</definedName>
    <definedName name="IerarhiyaUr2" localSheetId="7">[1]Иерархия!$B$2:$B$127</definedName>
    <definedName name="IerarhiyaUr2" localSheetId="27">#REF!</definedName>
    <definedName name="IerarhiyaUr2" localSheetId="19">[2]Иерархия!$B$2:$B$127</definedName>
    <definedName name="IerarhiyaUr2" localSheetId="21">[2]Иерархия!$B$2:$B$127</definedName>
    <definedName name="IerarhiyaUr2" localSheetId="26">[2]Иерархия!$B$2:$B$127</definedName>
    <definedName name="IerarhiyaUr2" localSheetId="8">[1]Иерархия!$B$2:$B$127</definedName>
    <definedName name="IerarhiyaUr2" localSheetId="1">[3]Иерархия!$B$2:$B$127</definedName>
    <definedName name="IerarhiyaUr2" localSheetId="16">[1]Иерархия!$B$2:$B$127</definedName>
    <definedName name="IerarhiyaUr2" localSheetId="17">[2]Иерархия!$B$2:$B$127</definedName>
    <definedName name="IerarhiyaUr2" localSheetId="32">#REF!</definedName>
    <definedName name="IerarhiyaUr2" localSheetId="38">[2]Иерархия!$B$2:$B$127</definedName>
    <definedName name="IerarhiyaUr2" localSheetId="30">#REF!</definedName>
    <definedName name="IerarhiyaUr2" localSheetId="31">#REF!</definedName>
    <definedName name="IerarhiyaUr2" localSheetId="34">[4]Иерархия!$B$2:$B$127</definedName>
    <definedName name="IerarhiyaUr2" localSheetId="29">#REF!</definedName>
    <definedName name="IerarhiyaUr2" localSheetId="22">[2]Иерархия!$B$2:$B$127</definedName>
    <definedName name="IerarhiyaUr2" localSheetId="33">[4]Иерархия!$B$2:$B$127</definedName>
    <definedName name="IerarhiyaUr2" localSheetId="35">[4]Иерархия!$B$2:$B$127</definedName>
    <definedName name="IerarhiyaUr2" localSheetId="2">[3]Иерархия!$B$2:$B$127</definedName>
    <definedName name="IerarhiyaUr2" localSheetId="3">[3]Иерархия!$B$2:$B$127</definedName>
    <definedName name="IerarhiyaUr2" localSheetId="9">[2]Иерархия!$B$2:$B$127</definedName>
    <definedName name="IerarhiyaUr2" localSheetId="10">[2]Иерархия!$B$2:$B$127</definedName>
    <definedName name="IerarhiyaUr2" localSheetId="0">[5]Иерархия!$B$2:$B$127</definedName>
    <definedName name="IerarhiyaUr2" localSheetId="15">[6]Иерархия!$B$2:$B$124</definedName>
    <definedName name="IerarhiyaUr2" localSheetId="11">[6]Иерархия!$B$2:$B$124</definedName>
    <definedName name="IerarhiyaUr2" localSheetId="14">[6]Иерархия!$B$2:$B$124</definedName>
    <definedName name="IerarhiyaUr2" localSheetId="13">[6]Иерархия!$B$2:$B$124</definedName>
    <definedName name="IerarhiyaUr2" localSheetId="12">[2]Иерархия!$B$2:$B$127</definedName>
    <definedName name="IerarhiyaUr2" localSheetId="28">#REF!</definedName>
    <definedName name="IerarhiyaUr2" localSheetId="23">[4]Иерархия!$B$2:$B$127</definedName>
    <definedName name="IerarhiyaUr2" localSheetId="24">[2]Иерархия!$B$2:$B$127</definedName>
    <definedName name="IerarhiyaUr2" localSheetId="4">[1]Иерархия!$B$2:$B$127</definedName>
    <definedName name="IerarhiyaUr2" localSheetId="5">[1]Иерархия!$B$2:$B$127</definedName>
    <definedName name="IerarhiyaUr2" localSheetId="36">[4]Иерархия!$B$2:$B$127</definedName>
    <definedName name="IerarhiyaUr2">#REF!</definedName>
    <definedName name="IerarhiyaUr3" localSheetId="6">#REF!</definedName>
    <definedName name="IerarhiyaUr3" localSheetId="7">#REF!</definedName>
    <definedName name="IerarhiyaUr3" localSheetId="27">#REF!</definedName>
    <definedName name="IerarhiyaUr3" localSheetId="26">#REF!</definedName>
    <definedName name="IerarhiyaUr3" localSheetId="8">#REF!</definedName>
    <definedName name="IerarhiyaUr3" localSheetId="38">#REF!</definedName>
    <definedName name="IerarhiyaUr3" localSheetId="30">#REF!</definedName>
    <definedName name="IerarhiyaUr3" localSheetId="31">#REF!</definedName>
    <definedName name="IerarhiyaUr3" localSheetId="34">#REF!</definedName>
    <definedName name="IerarhiyaUr3" localSheetId="29">#REF!</definedName>
    <definedName name="IerarhiyaUr3" localSheetId="33">#REF!</definedName>
    <definedName name="IerarhiyaUr3" localSheetId="35">#REF!</definedName>
    <definedName name="IerarhiyaUr3" localSheetId="3">#REF!</definedName>
    <definedName name="IerarhiyaUr3" localSheetId="13">#REF!</definedName>
    <definedName name="IerarhiyaUr3" localSheetId="28">#REF!</definedName>
    <definedName name="IerarhiyaUr3" localSheetId="24">#REF!</definedName>
    <definedName name="IerarhiyaUr3" localSheetId="4">#REF!</definedName>
    <definedName name="IerarhiyaUr3" localSheetId="5">#REF!</definedName>
    <definedName name="IerarhiyaUr3" localSheetId="36">#REF!</definedName>
    <definedName name="IerarhiyaUr3">#REF!</definedName>
    <definedName name="INV" localSheetId="6">[1]Системный!$D$3:$D$5</definedName>
    <definedName name="INV" localSheetId="7">[1]Системный!$D$3:$D$5</definedName>
    <definedName name="INV" localSheetId="18">#REF!</definedName>
    <definedName name="INV" localSheetId="19">[2]Системный!$D$3:$D$5</definedName>
    <definedName name="INV" localSheetId="20">#REF!</definedName>
    <definedName name="INV" localSheetId="21">[2]Системный!$D$3:$D$5</definedName>
    <definedName name="INV" localSheetId="26">[2]Системный!$D$3:$D$5</definedName>
    <definedName name="INV" localSheetId="8">[1]Системный!$D$3:$D$5</definedName>
    <definedName name="INV" localSheetId="1">[3]Системный!$D$3:$D$5</definedName>
    <definedName name="INV" localSheetId="16">[1]Системный!$D$3:$D$5</definedName>
    <definedName name="INV" localSheetId="17">[2]Системный!$D$3:$D$5</definedName>
    <definedName name="INV" localSheetId="38">[2]Системный!$D$3:$D$5</definedName>
    <definedName name="INV" localSheetId="34">[4]Системный!$D$3:$D$5</definedName>
    <definedName name="INV" localSheetId="22">[2]Системный!$D$3:$D$5</definedName>
    <definedName name="INV" localSheetId="33">[4]Системный!$D$3:$D$5</definedName>
    <definedName name="INV" localSheetId="35">[4]Системный!$D$3:$D$5</definedName>
    <definedName name="INV" localSheetId="2">[3]Системный!$D$3:$D$5</definedName>
    <definedName name="INV" localSheetId="3">[3]Системный!$D$3:$D$5</definedName>
    <definedName name="INV" localSheetId="9">[2]Системный!$D$3:$D$5</definedName>
    <definedName name="INV" localSheetId="10">[2]Системный!$D$3:$D$5</definedName>
    <definedName name="INV" localSheetId="0">[5]Системный!$D$3:$D$5</definedName>
    <definedName name="INV" localSheetId="15">[6]Системный!$D$3:$D$5</definedName>
    <definedName name="INV" localSheetId="11">[6]Системный!$D$3:$D$5</definedName>
    <definedName name="INV" localSheetId="14">[6]Системный!$D$3:$D$5</definedName>
    <definedName name="INV" localSheetId="13">[6]Системный!$D$3:$D$5</definedName>
    <definedName name="INV" localSheetId="12">[2]Системный!$D$3:$D$5</definedName>
    <definedName name="INV" localSheetId="23">[4]Системный!$D$3:$D$5</definedName>
    <definedName name="INV" localSheetId="24">[2]Системный!$D$3:$D$5</definedName>
    <definedName name="INV" localSheetId="4">[1]Системный!$D$3:$D$5</definedName>
    <definedName name="INV" localSheetId="5">[1]Системный!$D$3:$D$5</definedName>
    <definedName name="INV" localSheetId="36">[4]Системный!$D$3:$D$5</definedName>
    <definedName name="INV">Системный!$B$3:$B$4</definedName>
    <definedName name="RD_TABLE" localSheetId="6">'[1]Станц Защ'!$Q$3:$Q$5</definedName>
    <definedName name="RD_TABLE" localSheetId="7">'[1]Станц Защ'!$Q$3:$Q$5</definedName>
    <definedName name="RD_TABLE" localSheetId="27">#REF!</definedName>
    <definedName name="RD_TABLE" localSheetId="19">'[2]Станц Защ'!$Q$3:$Q$5</definedName>
    <definedName name="RD_TABLE" localSheetId="21">'[2]Станц Защ'!$Q$3:$Q$5</definedName>
    <definedName name="RD_TABLE" localSheetId="26">'[2]Станц Защ'!$Q$3:$Q$5</definedName>
    <definedName name="RD_TABLE" localSheetId="8">'[1]Станц Защ'!$Q$3:$Q$5</definedName>
    <definedName name="RD_TABLE" localSheetId="1">'[3]Станц Защ'!$Q$3:$Q$5</definedName>
    <definedName name="RD_TABLE" localSheetId="16">'[1]Станц Защ'!$Q$3:$Q$5</definedName>
    <definedName name="RD_TABLE" localSheetId="17">'[2]Станц Защ'!$Q$3:$Q$5</definedName>
    <definedName name="RD_TABLE" localSheetId="32">#REF!</definedName>
    <definedName name="RD_TABLE" localSheetId="38">'[2]Станц Защ'!$Q$3:$Q$5</definedName>
    <definedName name="RD_TABLE" localSheetId="30">#REF!</definedName>
    <definedName name="RD_TABLE" localSheetId="31">#REF!</definedName>
    <definedName name="RD_TABLE" localSheetId="34">'[4]Станц Защ'!$Q$3:$Q$5</definedName>
    <definedName name="RD_TABLE" localSheetId="29">#REF!</definedName>
    <definedName name="RD_TABLE" localSheetId="22">'[2]Станц Защ'!$Q$3:$Q$5</definedName>
    <definedName name="RD_TABLE" localSheetId="33">'[4]Станц Защ'!$Q$3:$Q$5</definedName>
    <definedName name="RD_TABLE" localSheetId="35">'[4]Станц Защ'!$Q$3:$Q$5</definedName>
    <definedName name="RD_TABLE" localSheetId="2">'[3]Станц Защ'!$Q$3:$Q$5</definedName>
    <definedName name="RD_TABLE" localSheetId="3">'[3]Станц Защ'!$Q$3:$Q$5</definedName>
    <definedName name="RD_TABLE" localSheetId="9">'[2]Станц Защ'!$Q$3:$Q$5</definedName>
    <definedName name="RD_TABLE" localSheetId="10">'[2]Станц Защ'!$Q$3:$Q$5</definedName>
    <definedName name="RD_TABLE" localSheetId="0">'[5]Станц Защ'!$Q$3:$Q$5</definedName>
    <definedName name="RD_TABLE" localSheetId="15">'[6]Станц Защ'!$Q$3:$Q$5</definedName>
    <definedName name="RD_TABLE" localSheetId="11">'[6]Станц Защ'!$Q$3:$Q$5</definedName>
    <definedName name="RD_TABLE" localSheetId="14">'[6]Станц Защ'!$Q$3:$Q$5</definedName>
    <definedName name="RD_TABLE" localSheetId="13">'[6]Станц Защ'!$Q$3:$Q$5</definedName>
    <definedName name="RD_TABLE" localSheetId="12">'[2]Станц Защ'!$Q$3:$Q$5</definedName>
    <definedName name="RD_TABLE" localSheetId="28">#REF!</definedName>
    <definedName name="RD_TABLE" localSheetId="23">'[4]Станц Защ'!$Q$3:$Q$5</definedName>
    <definedName name="RD_TABLE" localSheetId="24">'[2]Станц Защ'!$Q$3:$Q$5</definedName>
    <definedName name="RD_TABLE" localSheetId="4">'[1]Станц Защ'!$Q$3:$Q$5</definedName>
    <definedName name="RD_TABLE" localSheetId="5">'[1]Станц Защ'!$Q$3:$Q$5</definedName>
    <definedName name="RD_TABLE" localSheetId="36">'[4]Станц Защ'!$Q$3:$Q$5</definedName>
    <definedName name="RD_TABLE">#REF!</definedName>
    <definedName name="Type" localSheetId="6">[1]Системный!$B$3:$B$23</definedName>
    <definedName name="Type" localSheetId="7">[1]Системный!$B$3:$B$23</definedName>
    <definedName name="Type" localSheetId="27">#REF!</definedName>
    <definedName name="Type" localSheetId="19">[2]Системный!$B$3:$B$23</definedName>
    <definedName name="Type" localSheetId="21">[2]Системный!$B$3:$B$23</definedName>
    <definedName name="Type" localSheetId="26">[2]Системный!$B$3:$B$23</definedName>
    <definedName name="Type" localSheetId="8">[1]Системный!$B$3:$B$23</definedName>
    <definedName name="Type" localSheetId="1">[3]Системный!$B$3:$B$23</definedName>
    <definedName name="Type" localSheetId="16">[1]Системный!$B$3:$B$23</definedName>
    <definedName name="Type" localSheetId="17">[2]Системный!$B$3:$B$23</definedName>
    <definedName name="Type" localSheetId="32">#REF!</definedName>
    <definedName name="Type" localSheetId="38">[2]Системный!$B$3:$B$23</definedName>
    <definedName name="Type" localSheetId="30">#REF!</definedName>
    <definedName name="Type" localSheetId="31">#REF!</definedName>
    <definedName name="Type" localSheetId="34">[4]Системный!$B$3:$B$23</definedName>
    <definedName name="Type" localSheetId="29">#REF!</definedName>
    <definedName name="Type" localSheetId="22">[2]Системный!$B$3:$B$23</definedName>
    <definedName name="Type" localSheetId="33">[4]Системный!$B$3:$B$23</definedName>
    <definedName name="Type" localSheetId="35">[4]Системный!$B$3:$B$23</definedName>
    <definedName name="Type" localSheetId="2">[3]Системный!$B$3:$B$23</definedName>
    <definedName name="Type" localSheetId="3">[3]Системный!$B$3:$B$23</definedName>
    <definedName name="Type" localSheetId="9">[2]Системный!$B$3:$B$23</definedName>
    <definedName name="Type" localSheetId="10">[2]Системный!$B$3:$B$23</definedName>
    <definedName name="Type" localSheetId="0">[5]Системный!$B$3:$B$23</definedName>
    <definedName name="Type" localSheetId="15">[6]Системный!$B$3:$B$23</definedName>
    <definedName name="Type" localSheetId="11">[6]Системный!$B$3:$B$23</definedName>
    <definedName name="Type" localSheetId="14">[6]Системный!$B$3:$B$23</definedName>
    <definedName name="Type" localSheetId="13">[6]Системный!$B$3:$B$23</definedName>
    <definedName name="Type" localSheetId="12">[2]Системный!$B$3:$B$23</definedName>
    <definedName name="Type" localSheetId="28">#REF!</definedName>
    <definedName name="Type" localSheetId="23">[4]Системный!$B$3:$B$23</definedName>
    <definedName name="Type" localSheetId="24">[2]Системный!$B$3:$B$23</definedName>
    <definedName name="Type" localSheetId="4">[1]Системный!$B$3:$B$23</definedName>
    <definedName name="Type" localSheetId="5">[1]Системный!$B$3:$B$23</definedName>
    <definedName name="Type" localSheetId="36">[4]Системный!$B$3:$B$23</definedName>
    <definedName name="Type">#REF!</definedName>
    <definedName name="ДПприор" localSheetId="6">[1]Системный!$F$4:$F$7</definedName>
    <definedName name="ДПприор" localSheetId="7">[1]Системный!$F$4:$F$7</definedName>
    <definedName name="ДПприор" localSheetId="27">#REF!</definedName>
    <definedName name="ДПприор" localSheetId="19">[2]Системный!$F$4:$F$7</definedName>
    <definedName name="ДПприор" localSheetId="21">[2]Системный!$F$4:$F$7</definedName>
    <definedName name="ДПприор" localSheetId="26">[2]Системный!$F$4:$F$7</definedName>
    <definedName name="ДПприор" localSheetId="8">[1]Системный!$F$4:$F$7</definedName>
    <definedName name="ДПприор" localSheetId="1">[3]Системный!$F$4:$F$7</definedName>
    <definedName name="ДПприор" localSheetId="16">[1]Системный!$F$4:$F$7</definedName>
    <definedName name="ДПприор" localSheetId="17">[2]Системный!$F$4:$F$7</definedName>
    <definedName name="ДПприор" localSheetId="32">#REF!</definedName>
    <definedName name="ДПприор" localSheetId="38">[2]Системный!$F$4:$F$7</definedName>
    <definedName name="ДПприор" localSheetId="30">#REF!</definedName>
    <definedName name="ДПприор" localSheetId="31">#REF!</definedName>
    <definedName name="ДПприор" localSheetId="34">[4]Системный!$F$4:$F$7</definedName>
    <definedName name="ДПприор" localSheetId="29">#REF!</definedName>
    <definedName name="ДПприор" localSheetId="22">[2]Системный!$F$4:$F$7</definedName>
    <definedName name="ДПприор" localSheetId="33">[4]Системный!$F$4:$F$7</definedName>
    <definedName name="ДПприор" localSheetId="35">[4]Системный!$F$4:$F$7</definedName>
    <definedName name="ДПприор" localSheetId="2">[3]Системный!$F$4:$F$7</definedName>
    <definedName name="ДПприор" localSheetId="3">[3]Системный!$F$4:$F$7</definedName>
    <definedName name="ДПприор" localSheetId="9">[2]Системный!$F$4:$F$7</definedName>
    <definedName name="ДПприор" localSheetId="10">[2]Системный!$F$4:$F$7</definedName>
    <definedName name="ДПприор" localSheetId="0">[5]Системный!$F$4:$F$7</definedName>
    <definedName name="ДПприор" localSheetId="15">[2]Системный!$F$4:$F$7</definedName>
    <definedName name="ДПприор" localSheetId="11">[2]Системный!$F$4:$F$7</definedName>
    <definedName name="ДПприор" localSheetId="14">[2]Системный!$F$4:$F$7</definedName>
    <definedName name="ДПприор" localSheetId="13">[2]Системный!$F$4:$F$7</definedName>
    <definedName name="ДПприор" localSheetId="12">[2]Системный!$F$4:$F$7</definedName>
    <definedName name="ДПприор" localSheetId="28">#REF!</definedName>
    <definedName name="ДПприор" localSheetId="23">[4]Системный!$F$4:$F$7</definedName>
    <definedName name="ДПприор" localSheetId="24">[2]Системный!$F$4:$F$7</definedName>
    <definedName name="ДПприор" localSheetId="4">[1]Системный!$F$4:$F$7</definedName>
    <definedName name="ДПприор" localSheetId="5">[1]Системный!$F$4:$F$7</definedName>
    <definedName name="ДПприор" localSheetId="36">[4]Системный!$F$4:$F$7</definedName>
    <definedName name="ДПприор">#REF!</definedName>
    <definedName name="НазваниеДиап" localSheetId="6">[1]ИПдиапазоны!$B$2:$B$33</definedName>
    <definedName name="НазваниеДиап" localSheetId="7">[1]ИПдиапазоны!$B$2:$B$33</definedName>
    <definedName name="НазваниеДиап" localSheetId="27">#REF!</definedName>
    <definedName name="НазваниеДиап" localSheetId="19">[2]ИПдиапазоны!$B$2:$B$33</definedName>
    <definedName name="НазваниеДиап" localSheetId="21">[2]ИПдиапазоны!$B$2:$B$33</definedName>
    <definedName name="НазваниеДиап" localSheetId="26">[2]ИПдиапазоны!$B$2:$B$33</definedName>
    <definedName name="НазваниеДиап" localSheetId="8">[1]ИПдиапазоны!$B$2:$B$33</definedName>
    <definedName name="НазваниеДиап" localSheetId="1">[3]ИПдиапазоны!$B$2:$B$33</definedName>
    <definedName name="НазваниеДиап" localSheetId="16">[1]ИПдиапазоны!$B$2:$B$33</definedName>
    <definedName name="НазваниеДиап" localSheetId="17">[2]ИПдиапазоны!$B$2:$B$33</definedName>
    <definedName name="НазваниеДиап" localSheetId="32">#REF!</definedName>
    <definedName name="НазваниеДиап" localSheetId="38">[2]ИПдиапазоны!$B$2:$B$33</definedName>
    <definedName name="НазваниеДиап" localSheetId="30">#REF!</definedName>
    <definedName name="НазваниеДиап" localSheetId="31">#REF!</definedName>
    <definedName name="НазваниеДиап" localSheetId="34">[4]ИПдиапазоны!$B$2:$B$33</definedName>
    <definedName name="НазваниеДиап" localSheetId="29">#REF!</definedName>
    <definedName name="НазваниеДиап" localSheetId="22">[2]ИПдиапазоны!$B$2:$B$33</definedName>
    <definedName name="НазваниеДиап" localSheetId="33">[4]ИПдиапазоны!$B$2:$B$33</definedName>
    <definedName name="НазваниеДиап" localSheetId="35">[4]ИПдиапазоны!$B$2:$B$33</definedName>
    <definedName name="НазваниеДиап" localSheetId="2">[3]ИПдиапазоны!$B$2:$B$33</definedName>
    <definedName name="НазваниеДиап" localSheetId="3">[3]ИПдиапазоны!$B$2:$B$33</definedName>
    <definedName name="НазваниеДиап" localSheetId="9">[2]ИПдиапазоны!$B$2:$B$33</definedName>
    <definedName name="НазваниеДиап" localSheetId="10">[2]ИПдиапазоны!$B$2:$B$33</definedName>
    <definedName name="НазваниеДиап" localSheetId="0">[5]ИПдиапазоны!$B$2:$B$33</definedName>
    <definedName name="НазваниеДиап" localSheetId="15">[2]ИПдиапазоны!$B$2:$B$33</definedName>
    <definedName name="НазваниеДиап" localSheetId="11">[2]ИПдиапазоны!$B$2:$B$33</definedName>
    <definedName name="НазваниеДиап" localSheetId="14">[2]ИПдиапазоны!$B$2:$B$33</definedName>
    <definedName name="НазваниеДиап" localSheetId="13">[2]ИПдиапазоны!$B$2:$B$33</definedName>
    <definedName name="НазваниеДиап" localSheetId="12">[2]ИПдиапазоны!$B$2:$B$33</definedName>
    <definedName name="НазваниеДиап" localSheetId="28">#REF!</definedName>
    <definedName name="НазваниеДиап" localSheetId="23">[4]ИПдиапазоны!$B$2:$B$33</definedName>
    <definedName name="НазваниеДиап" localSheetId="24">[2]ИПдиапазоны!$B$2:$B$33</definedName>
    <definedName name="НазваниеДиап" localSheetId="4">[1]ИПдиапазоны!$B$2:$B$33</definedName>
    <definedName name="НазваниеДиап" localSheetId="5">[1]ИПдиапазоны!$B$2:$B$33</definedName>
    <definedName name="НазваниеДиап" localSheetId="36">[4]ИПдиапазоны!$B$2:$B$33</definedName>
    <definedName name="НазваниеДиап">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7" l="1"/>
  <c r="B4" i="17"/>
  <c r="B3" i="17"/>
  <c r="B3" i="27" l="1"/>
  <c r="D62" i="23"/>
  <c r="D61" i="23"/>
  <c r="D26" i="23"/>
  <c r="D25" i="23"/>
  <c r="B83" i="23"/>
  <c r="E83" i="23" s="1"/>
  <c r="B82" i="23"/>
  <c r="E82" i="23" s="1"/>
  <c r="D83" i="23"/>
  <c r="D82" i="23"/>
  <c r="E70" i="23"/>
  <c r="E71" i="23" s="1"/>
  <c r="E34" i="23"/>
  <c r="E35" i="23" s="1"/>
  <c r="B65" i="23"/>
  <c r="E65" i="23" s="1"/>
  <c r="B63" i="23"/>
  <c r="E64" i="23" s="1"/>
  <c r="E76" i="23"/>
  <c r="E75" i="23"/>
  <c r="E74" i="23"/>
  <c r="E73" i="23"/>
  <c r="E72" i="23"/>
  <c r="S47" i="23"/>
  <c r="S46" i="23"/>
  <c r="B46" i="23"/>
  <c r="E47" i="23" s="1"/>
  <c r="B12" i="23"/>
  <c r="E21" i="23" s="1"/>
  <c r="B48" i="23"/>
  <c r="E55" i="23" s="1"/>
  <c r="B52" i="23"/>
  <c r="E52" i="23" s="1"/>
  <c r="B56" i="23"/>
  <c r="E56" i="23" s="1"/>
  <c r="B67" i="23"/>
  <c r="E67" i="23" s="1"/>
  <c r="B69" i="23"/>
  <c r="E69" i="23" s="1"/>
  <c r="S80" i="23"/>
  <c r="B80" i="23"/>
  <c r="E80" i="23" s="1"/>
  <c r="D80" i="23"/>
  <c r="B79" i="23"/>
  <c r="E79" i="23" s="1"/>
  <c r="B78" i="23"/>
  <c r="E78" i="23" s="1"/>
  <c r="B77" i="23"/>
  <c r="E77" i="23" s="1"/>
  <c r="S44" i="23"/>
  <c r="B44" i="23"/>
  <c r="E44" i="23" s="1"/>
  <c r="D44" i="23"/>
  <c r="S79" i="23"/>
  <c r="S78" i="23"/>
  <c r="S77" i="23"/>
  <c r="D79" i="23"/>
  <c r="D78" i="23"/>
  <c r="D77" i="23"/>
  <c r="D76" i="23"/>
  <c r="D75" i="23"/>
  <c r="D74" i="23"/>
  <c r="D73" i="23"/>
  <c r="D72" i="23"/>
  <c r="D71" i="23"/>
  <c r="D70" i="23"/>
  <c r="S71" i="23"/>
  <c r="S70" i="23"/>
  <c r="S76" i="23"/>
  <c r="S75" i="23"/>
  <c r="D69" i="23"/>
  <c r="D68" i="23"/>
  <c r="D67" i="23"/>
  <c r="S68" i="23"/>
  <c r="S67" i="23"/>
  <c r="S64" i="23"/>
  <c r="S63" i="23"/>
  <c r="D66" i="23"/>
  <c r="D65" i="23"/>
  <c r="D64" i="23"/>
  <c r="D63" i="23"/>
  <c r="E26" i="23"/>
  <c r="E62" i="23"/>
  <c r="E61" i="23"/>
  <c r="E60" i="23"/>
  <c r="E59" i="23"/>
  <c r="E58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B5" i="16"/>
  <c r="S43" i="23"/>
  <c r="B43" i="23"/>
  <c r="E43" i="23" s="1"/>
  <c r="D43" i="23"/>
  <c r="S42" i="23"/>
  <c r="B42" i="23"/>
  <c r="E42" i="23" s="1"/>
  <c r="D42" i="23"/>
  <c r="S41" i="23"/>
  <c r="B41" i="23"/>
  <c r="E41" i="23" s="1"/>
  <c r="D41" i="23"/>
  <c r="S40" i="23"/>
  <c r="E40" i="23"/>
  <c r="D40" i="23"/>
  <c r="S39" i="23"/>
  <c r="E39" i="23"/>
  <c r="D39" i="23"/>
  <c r="E38" i="23"/>
  <c r="D38" i="23"/>
  <c r="E37" i="23"/>
  <c r="D37" i="23"/>
  <c r="E36" i="23"/>
  <c r="D36" i="23"/>
  <c r="S35" i="23"/>
  <c r="D35" i="23"/>
  <c r="S34" i="23"/>
  <c r="D34" i="23"/>
  <c r="B33" i="23"/>
  <c r="E33" i="23" s="1"/>
  <c r="D33" i="23"/>
  <c r="S32" i="23"/>
  <c r="B31" i="23"/>
  <c r="E31" i="23" s="1"/>
  <c r="D32" i="23"/>
  <c r="S31" i="23"/>
  <c r="D31" i="23"/>
  <c r="B29" i="23"/>
  <c r="E30" i="23" s="1"/>
  <c r="D30" i="23"/>
  <c r="D29" i="23"/>
  <c r="S28" i="23"/>
  <c r="B27" i="23"/>
  <c r="E27" i="23" s="1"/>
  <c r="D28" i="23"/>
  <c r="S27" i="23"/>
  <c r="D27" i="23"/>
  <c r="E25" i="23"/>
  <c r="E24" i="23"/>
  <c r="D24" i="23"/>
  <c r="E23" i="23"/>
  <c r="D23" i="23"/>
  <c r="E22" i="23"/>
  <c r="D22" i="23"/>
  <c r="D21" i="23"/>
  <c r="B20" i="23"/>
  <c r="E20" i="23" s="1"/>
  <c r="D20" i="23"/>
  <c r="D19" i="23"/>
  <c r="D18" i="23"/>
  <c r="D17" i="23"/>
  <c r="B16" i="23"/>
  <c r="E16" i="23" s="1"/>
  <c r="D16" i="23"/>
  <c r="D15" i="23"/>
  <c r="D14" i="23"/>
  <c r="D13" i="23"/>
  <c r="D12" i="23"/>
  <c r="S11" i="23"/>
  <c r="B10" i="23"/>
  <c r="E10" i="23" s="1"/>
  <c r="D11" i="23"/>
  <c r="S10" i="23"/>
  <c r="D10" i="23"/>
  <c r="B4" i="16"/>
  <c r="B3" i="16"/>
  <c r="E7" i="12"/>
  <c r="D7" i="12"/>
  <c r="E5" i="12"/>
  <c r="D5" i="12"/>
  <c r="E3" i="12"/>
  <c r="D3" i="12"/>
  <c r="E13" i="23"/>
  <c r="E15" i="23"/>
  <c r="E18" i="23"/>
  <c r="E63" i="23"/>
  <c r="E19" i="23"/>
  <c r="E66" i="23" l="1"/>
  <c r="E54" i="23"/>
  <c r="E28" i="23"/>
  <c r="E57" i="23"/>
  <c r="E17" i="23"/>
  <c r="E14" i="23"/>
  <c r="E51" i="23"/>
  <c r="E12" i="23"/>
  <c r="E32" i="23"/>
  <c r="E11" i="23"/>
  <c r="E68" i="23"/>
  <c r="E29" i="23"/>
  <c r="E53" i="23"/>
  <c r="E46" i="23"/>
  <c r="E50" i="23"/>
  <c r="E48" i="23"/>
  <c r="E49" i="23"/>
</calcChain>
</file>

<file path=xl/comments1.xml><?xml version="1.0" encoding="utf-8"?>
<comments xmlns="http://schemas.openxmlformats.org/spreadsheetml/2006/main">
  <authors>
    <author>alex</author>
    <author>Chastukhin Aleksandr</author>
  </authors>
  <commentList>
    <comment ref="D1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17" authorId="0" shapeId="0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29" authorId="1" shapeId="0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3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36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39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41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42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43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44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CRP module
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 xml:space="preserve">for NOE module
</t>
        </r>
      </text>
    </comment>
    <comment ref="D65" authorId="1" shapeId="0">
      <text>
        <r>
          <rPr>
            <b/>
            <sz val="9"/>
            <color indexed="81"/>
            <rFont val="Tahoma"/>
            <family val="2"/>
            <charset val="204"/>
          </rPr>
          <t>For BMX NOE</t>
        </r>
      </text>
    </comment>
    <comment ref="D66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For BMX NOM
</t>
        </r>
      </text>
    </comment>
    <comment ref="D72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CRA модуля</t>
        </r>
      </text>
    </comment>
    <comment ref="D75" authorId="1" shapeId="0">
      <text>
        <r>
          <rPr>
            <b/>
            <sz val="9"/>
            <color indexed="81"/>
            <rFont val="Tahoma"/>
            <family val="2"/>
            <charset val="204"/>
          </rPr>
          <t>для NOM модулей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AMI</t>
        </r>
      </text>
    </comment>
    <comment ref="D78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79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  <comment ref="D8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каналы модуля AO
</t>
        </r>
      </text>
    </comment>
    <comment ref="D82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DDI</t>
        </r>
      </text>
    </comment>
    <comment ref="D83" authorId="1" shapeId="0">
      <text>
        <r>
          <rPr>
            <b/>
            <sz val="9"/>
            <color indexed="81"/>
            <rFont val="Tahoma"/>
            <family val="2"/>
            <charset val="204"/>
          </rPr>
          <t>каналы модуля DDO</t>
        </r>
      </text>
    </comment>
  </commentList>
</comments>
</file>

<file path=xl/sharedStrings.xml><?xml version="1.0" encoding="utf-8"?>
<sst xmlns="http://schemas.openxmlformats.org/spreadsheetml/2006/main" count="4442" uniqueCount="1290">
  <si>
    <t>Базовый регистр</t>
  </si>
  <si>
    <t>Шаг</t>
  </si>
  <si>
    <t>Смещение</t>
  </si>
  <si>
    <t>Tag Name</t>
  </si>
  <si>
    <t>Address</t>
  </si>
  <si>
    <t>Data Type</t>
  </si>
  <si>
    <t>Respect Data Type</t>
  </si>
  <si>
    <t>Client Access</t>
  </si>
  <si>
    <t>Scan Rate</t>
  </si>
  <si>
    <t>Scaling</t>
  </si>
  <si>
    <t>Raw Low</t>
  </si>
  <si>
    <t>Raw High</t>
  </si>
  <si>
    <t>Scaled Low</t>
  </si>
  <si>
    <t>Scaled High</t>
  </si>
  <si>
    <t>Scaled Data Type</t>
  </si>
  <si>
    <t>Clamp Low</t>
  </si>
  <si>
    <t>Clamp High</t>
  </si>
  <si>
    <t>Eng Units</t>
  </si>
  <si>
    <t>Description</t>
  </si>
  <si>
    <t>Negate Value</t>
  </si>
  <si>
    <t>PI.ObjName</t>
  </si>
  <si>
    <t>Word</t>
  </si>
  <si>
    <t>R/W</t>
  </si>
  <si>
    <t>PI.Sign</t>
  </si>
  <si>
    <t>PI.State.Atten</t>
  </si>
  <si>
    <t>.1</t>
  </si>
  <si>
    <t>Boolean</t>
  </si>
  <si>
    <t>.2</t>
  </si>
  <si>
    <t>PI.State.Fire</t>
  </si>
  <si>
    <t>.0</t>
  </si>
  <si>
    <t>PI.State.KZ</t>
  </si>
  <si>
    <t>.4</t>
  </si>
  <si>
    <t>PI.State.NoReady</t>
  </si>
  <si>
    <t>.5</t>
  </si>
  <si>
    <t>PI.State.Obr</t>
  </si>
  <si>
    <t>.3</t>
  </si>
  <si>
    <t>.6</t>
  </si>
  <si>
    <t>VS.Imit</t>
  </si>
  <si>
    <t>.11</t>
  </si>
  <si>
    <t>Установить режим имитация</t>
  </si>
  <si>
    <t>VS.Mode</t>
  </si>
  <si>
    <t>Режимы вспомсистемы</t>
  </si>
  <si>
    <t>VS.ObjName</t>
  </si>
  <si>
    <t>!!!! Название</t>
  </si>
  <si>
    <t>VS.Sign</t>
  </si>
  <si>
    <t>!!!! НазваниеКороткое</t>
  </si>
  <si>
    <t>VS.State</t>
  </si>
  <si>
    <t>Состояние вспомсистемы</t>
  </si>
  <si>
    <t>VS.State.Fail</t>
  </si>
  <si>
    <t>.7</t>
  </si>
  <si>
    <t>Неисправность</t>
  </si>
  <si>
    <t>VS.State.MP</t>
  </si>
  <si>
    <t>.15</t>
  </si>
  <si>
    <t>VS.State.NoPower</t>
  </si>
  <si>
    <t>.10</t>
  </si>
  <si>
    <t>Напряжение отсутствует</t>
  </si>
  <si>
    <t>VS.State.CorrCV</t>
  </si>
  <si>
    <t>.8</t>
  </si>
  <si>
    <t>Цепи включения исправны</t>
  </si>
  <si>
    <t>ZDV.Imit</t>
  </si>
  <si>
    <t>Имитация</t>
  </si>
  <si>
    <t>ZDV.ObjName</t>
  </si>
  <si>
    <t>ZDV.Sign</t>
  </si>
  <si>
    <t>ZDV.State</t>
  </si>
  <si>
    <t>Состояние задвижки</t>
  </si>
  <si>
    <t>.9</t>
  </si>
  <si>
    <t>ZDV.State.Dist</t>
  </si>
  <si>
    <t>Задвижка в дистанции</t>
  </si>
  <si>
    <t>ZDV.State.Err</t>
  </si>
  <si>
    <t>ZDV.State.Fail</t>
  </si>
  <si>
    <t>Авария</t>
  </si>
  <si>
    <t>ZDV.State.KVO</t>
  </si>
  <si>
    <t>.14</t>
  </si>
  <si>
    <t>КВО</t>
  </si>
  <si>
    <t>ZDV.State.KVZ</t>
  </si>
  <si>
    <t>КВЗ</t>
  </si>
  <si>
    <t>ZDV.State.MPO</t>
  </si>
  <si>
    <t>.12</t>
  </si>
  <si>
    <t>Магнитный пускатель открытия (МПО)</t>
  </si>
  <si>
    <t>ZDV.State.MPZ</t>
  </si>
  <si>
    <t>.13</t>
  </si>
  <si>
    <t>Магнитный пускатель закрытия (МПЗ)</t>
  </si>
  <si>
    <t>ZDV.State.MVO</t>
  </si>
  <si>
    <t>ZDV.State.MVZ</t>
  </si>
  <si>
    <t>ZDV.State.NoPower</t>
  </si>
  <si>
    <t>Нет напряжения</t>
  </si>
  <si>
    <t>ZDV.State.CorrCO</t>
  </si>
  <si>
    <t>Цепи открытия исправны</t>
  </si>
  <si>
    <t>ZDV.State.CorrCZ</t>
  </si>
  <si>
    <t>Цепи закрытия исправны</t>
  </si>
  <si>
    <t>Идет тушение объекта</t>
  </si>
  <si>
    <t>Готовность к автоматическому пожаротушению объекта</t>
  </si>
  <si>
    <t>Внимание</t>
  </si>
  <si>
    <t>Пожар</t>
  </si>
  <si>
    <t>UTS.Vkl</t>
  </si>
  <si>
    <t>Включено</t>
  </si>
  <si>
    <t>UTS.DO_on</t>
  </si>
  <si>
    <t>Дискретный выход включен</t>
  </si>
  <si>
    <t>UTS.ObjName</t>
  </si>
  <si>
    <t>НС в работе</t>
  </si>
  <si>
    <t>Все агрегаты НС отключены</t>
  </si>
  <si>
    <t>Сработала станционная защита</t>
  </si>
  <si>
    <t>Отсутствие запрета работы от ЦСПА</t>
  </si>
  <si>
    <t>Аварийная минимальная температура масла маслосистемы</t>
  </si>
  <si>
    <t>Выполнение штатного перехода</t>
  </si>
  <si>
    <t>Отключение ПНС с выдержкой времени до 5 с после отключения всех МНА - можно начинать</t>
  </si>
  <si>
    <t>Управление НПС телемеханическое</t>
  </si>
  <si>
    <t>Рабочий интервал подач</t>
  </si>
  <si>
    <t>Режим последовательной перекачки</t>
  </si>
  <si>
    <t>Есть замаскированная защита</t>
  </si>
  <si>
    <t>Состояние НС</t>
  </si>
  <si>
    <t>Режим работы НС</t>
  </si>
  <si>
    <t>NA.Imit</t>
  </si>
  <si>
    <t>Режим Имитация</t>
  </si>
  <si>
    <t>NA.Mode</t>
  </si>
  <si>
    <t>Режимы НА</t>
  </si>
  <si>
    <t>NA.ObjName</t>
  </si>
  <si>
    <t>RO</t>
  </si>
  <si>
    <t>NA.State</t>
  </si>
  <si>
    <t>Состояние НА</t>
  </si>
  <si>
    <t>NA.Mode.Imit</t>
  </si>
  <si>
    <t>NA.Mode.Nenom</t>
  </si>
  <si>
    <t>Вне рабочего интервала подач</t>
  </si>
  <si>
    <t>NA.Mode.P1</t>
  </si>
  <si>
    <t>Программа пуска 1</t>
  </si>
  <si>
    <t>NA.Mode.P2</t>
  </si>
  <si>
    <t>Программа пуска 2</t>
  </si>
  <si>
    <t>NA.State.AProtect</t>
  </si>
  <si>
    <t>Сработала агрегатная защита</t>
  </si>
  <si>
    <t>NA.State.CtrlErr</t>
  </si>
  <si>
    <t>Неисправность цепей контроля</t>
  </si>
  <si>
    <t>NA.State.DoublChOffErr</t>
  </si>
  <si>
    <t>Дублирующие цепи отключения неисправны</t>
  </si>
  <si>
    <t>NA.State.Hotrez</t>
  </si>
  <si>
    <t>Агрегат в горячем резерве</t>
  </si>
  <si>
    <t>NA.State.NoStatMotor</t>
  </si>
  <si>
    <t>Нестационарный режим работы двигателя НА</t>
  </si>
  <si>
    <t>NA.State.NoStatPump</t>
  </si>
  <si>
    <t>NA.State.ProgPusk</t>
  </si>
  <si>
    <t>Наличие дополнительного состояния НА «идет программа пуска»</t>
  </si>
  <si>
    <t>NA.State.ProgStop</t>
  </si>
  <si>
    <t>Наличие дополнительного состояния НА «идет программа остановки»</t>
  </si>
  <si>
    <t>NA.State.Ready</t>
  </si>
  <si>
    <t>Готов к  пуску</t>
  </si>
  <si>
    <t>NA.State.ReadyDist</t>
  </si>
  <si>
    <t>Готов к дистанционному пуску</t>
  </si>
  <si>
    <t>NA.State.VVOffErr</t>
  </si>
  <si>
    <t>Цепи отключения неисправны</t>
  </si>
  <si>
    <t>NA.State.VVOn</t>
  </si>
  <si>
    <t>Вакуумный выключатель включен</t>
  </si>
  <si>
    <t>NA.State.VVOnErr</t>
  </si>
  <si>
    <t>Цепи включения неисправны</t>
  </si>
  <si>
    <t>ВСПОМсис</t>
  </si>
  <si>
    <t>НАсис</t>
  </si>
  <si>
    <t>ЗДВсис</t>
  </si>
  <si>
    <t>НПСсис</t>
  </si>
  <si>
    <t>SysID</t>
  </si>
  <si>
    <t>NameSysSh</t>
  </si>
  <si>
    <t>ТаблСиренСис</t>
  </si>
  <si>
    <t>ObjName</t>
  </si>
  <si>
    <t>Sign</t>
  </si>
  <si>
    <t>State</t>
  </si>
  <si>
    <t>State.StateNS</t>
  </si>
  <si>
    <t>State.AllAgrOff</t>
  </si>
  <si>
    <t>State.Zash</t>
  </si>
  <si>
    <t>State.GotCSPA</t>
  </si>
  <si>
    <t>State.Tmaslo_avar_min</t>
  </si>
  <si>
    <t>State.Transition_1</t>
  </si>
  <si>
    <t>State.PNS_Off_5s_MNA_gotov</t>
  </si>
  <si>
    <t>Mode</t>
  </si>
  <si>
    <t>Mode.Dst</t>
  </si>
  <si>
    <t>Mode.NonIntervalPodach</t>
  </si>
  <si>
    <t>Mode.Psl</t>
  </si>
  <si>
    <t>NA.MaskGot</t>
  </si>
  <si>
    <t>Есть замаскированная готовность</t>
  </si>
  <si>
    <t>NA.MaskZash</t>
  </si>
  <si>
    <t>Резерв при аварии.!!!! Название!!!!</t>
  </si>
  <si>
    <t>Контроль по току.!!!! Название!!!!</t>
  </si>
  <si>
    <t>!!!! Название!!!!</t>
  </si>
  <si>
    <t>.ZDV.Ust.Set2</t>
  </si>
  <si>
    <t>Время хода вала задвижки</t>
  </si>
  <si>
    <t>KGMPNA.M.Mask!!!!num!!!!</t>
  </si>
  <si>
    <t>!!!! Название!!!!. Маска</t>
  </si>
  <si>
    <t>KGMPNA.P.P!!!!num!!!!</t>
  </si>
  <si>
    <t>KTPR.F.F!!!!num!!!!</t>
  </si>
  <si>
    <t>KTPR.M.Mask!!!!num!!!!</t>
  </si>
  <si>
    <t>KTPR.P.P!!!!num!!!!</t>
  </si>
  <si>
    <t>KTPRA.F.F!!!!num!!!!</t>
  </si>
  <si>
    <t>KTPRA.M.Mask!!!!num!!!!</t>
  </si>
  <si>
    <t>KTPRA.P.P!!!!num!!!!</t>
  </si>
  <si>
    <t>.EUnits</t>
  </si>
  <si>
    <t>!!!! Единицы</t>
  </si>
  <si>
    <t>.Imit</t>
  </si>
  <si>
    <t>.ObjName</t>
  </si>
  <si>
    <t>.State</t>
  </si>
  <si>
    <t>!!!! Идентификатор</t>
  </si>
  <si>
    <t>.Uncertain</t>
  </si>
  <si>
    <t>Недостоверность</t>
  </si>
  <si>
    <t>.Uncertain_HARD</t>
  </si>
  <si>
    <t>Аппаратная недостоверность</t>
  </si>
  <si>
    <t>.Value</t>
  </si>
  <si>
    <t>Float</t>
  </si>
  <si>
    <t>Значение аналогового параметра</t>
  </si>
  <si>
    <t>.DisAlm.Max1</t>
  </si>
  <si>
    <t>Контроль оперативных сообщений Макс1</t>
  </si>
  <si>
    <t>.DisAlm.Max2</t>
  </si>
  <si>
    <t>Контроль оперативных сообщений Макс2</t>
  </si>
  <si>
    <t>.DisAlm.Max3</t>
  </si>
  <si>
    <t>Контроль оперативных сообщений Макс3</t>
  </si>
  <si>
    <t>.DisAlm.Max4</t>
  </si>
  <si>
    <t>Контроль оперативных сообщений Макс4</t>
  </si>
  <si>
    <t>.DisAlm.Max5</t>
  </si>
  <si>
    <t>Контроль оперативных сообщений Макс5</t>
  </si>
  <si>
    <t>.DisAlm.Max6</t>
  </si>
  <si>
    <t>Контроль оперативных сообщений Макс6</t>
  </si>
  <si>
    <t>.DisAlm.Max7</t>
  </si>
  <si>
    <t>Контроль оперативных сообщений Макс7</t>
  </si>
  <si>
    <t>.DisAlm.Min1</t>
  </si>
  <si>
    <t>Контроль оперативных сообщений Мин1</t>
  </si>
  <si>
    <t>.DisAlm.Min2</t>
  </si>
  <si>
    <t>Контроль оперативных сообщений Мин2</t>
  </si>
  <si>
    <t>.DisAlm.Min3</t>
  </si>
  <si>
    <t>Контроль оперативных сообщений Мин3</t>
  </si>
  <si>
    <t>.DisAlm.Min4</t>
  </si>
  <si>
    <t>Контроль оперативных сообщений Мин4</t>
  </si>
  <si>
    <t>.DisAlm.Min5</t>
  </si>
  <si>
    <t>Контроль оперативных сообщений Мин5</t>
  </si>
  <si>
    <t>.DisAlm.Min6</t>
  </si>
  <si>
    <t>Контроль оперативных сообщений Мин6</t>
  </si>
  <si>
    <t>.DisAlm.Min7</t>
  </si>
  <si>
    <t>Контроль оперативных сообщений Мин7</t>
  </si>
  <si>
    <t>.DisSnd.Max1</t>
  </si>
  <si>
    <t>Контроль звуковой сигнализации Макс1</t>
  </si>
  <si>
    <t>.DisSnd.Max2</t>
  </si>
  <si>
    <t>Контроль звуковой сигнализации Макс2</t>
  </si>
  <si>
    <t>.DisSnd.Max3</t>
  </si>
  <si>
    <t>Контроль звуковой сигнализации Макс3</t>
  </si>
  <si>
    <t>.DisSnd.Max4</t>
  </si>
  <si>
    <t>Контроль звуковой сигнализации Макс4</t>
  </si>
  <si>
    <t>.DisSnd.Max5</t>
  </si>
  <si>
    <t>Контроль звуковой сигнализации Макс5</t>
  </si>
  <si>
    <t>.DisSnd.Max6</t>
  </si>
  <si>
    <t>Контроль звуковой сигнализации Макс6</t>
  </si>
  <si>
    <t>.DisSnd.Max7</t>
  </si>
  <si>
    <t>Контроль звуковой сигнализации Макс7</t>
  </si>
  <si>
    <t>.DisSnd.Min1</t>
  </si>
  <si>
    <t>Контроль звуковой сигнализации Мин1</t>
  </si>
  <si>
    <t>.DisSnd.Min2</t>
  </si>
  <si>
    <t>Контроль звуковой сигнализации Мин2</t>
  </si>
  <si>
    <t>.DisSnd.Min3</t>
  </si>
  <si>
    <t>Контроль звуковой сигнализации Мин3</t>
  </si>
  <si>
    <t>.DisSnd.Min4</t>
  </si>
  <si>
    <t>Контроль звуковой сигнализации Мин4</t>
  </si>
  <si>
    <t>.DisSnd.Min5</t>
  </si>
  <si>
    <t>Контроль звуковой сигнализации Мин5</t>
  </si>
  <si>
    <t>.DisSnd.Min6</t>
  </si>
  <si>
    <t>Контроль звуковой сигнализации Мин6</t>
  </si>
  <si>
    <t>.DisSnd.Min7</t>
  </si>
  <si>
    <t>Контроль звуковой сигнализации Мин7</t>
  </si>
  <si>
    <t>.Set.Max1</t>
  </si>
  <si>
    <t>.Set.Max2</t>
  </si>
  <si>
    <t>.Set.Max3</t>
  </si>
  <si>
    <t>.Set.Max4</t>
  </si>
  <si>
    <t>.Set.Max5</t>
  </si>
  <si>
    <t>.Set.Max6</t>
  </si>
  <si>
    <t>.Set.Max7</t>
  </si>
  <si>
    <t xml:space="preserve">Контроль уставка технолог максимум </t>
  </si>
  <si>
    <t>.Set.Min1</t>
  </si>
  <si>
    <t>.Set.Min2</t>
  </si>
  <si>
    <t>.Set.Min3</t>
  </si>
  <si>
    <t>.Set.Min4</t>
  </si>
  <si>
    <t>.Set.Min5</t>
  </si>
  <si>
    <t>.Set.Min6</t>
  </si>
  <si>
    <t>.Set.Min7</t>
  </si>
  <si>
    <t xml:space="preserve">Контроль уставка технолог минимум </t>
  </si>
  <si>
    <t>.UST.Hist</t>
  </si>
  <si>
    <t>Гистерезис</t>
  </si>
  <si>
    <t>.UST.KC_Ndiap</t>
  </si>
  <si>
    <t>Коэффициент сглаживания и номер диапазона измерений</t>
  </si>
  <si>
    <t>.UST.Max1</t>
  </si>
  <si>
    <t>.UST.Max2</t>
  </si>
  <si>
    <t>.UST.Max3</t>
  </si>
  <si>
    <t>.UST.Max4</t>
  </si>
  <si>
    <t>.UST.Max5</t>
  </si>
  <si>
    <t>.UST.Max6</t>
  </si>
  <si>
    <t>.UST.Max7</t>
  </si>
  <si>
    <t>Установить значение технолог. максимум = ~</t>
  </si>
  <si>
    <t>.UST.Min1</t>
  </si>
  <si>
    <t>.UST.Min2</t>
  </si>
  <si>
    <t>.UST.Min3</t>
  </si>
  <si>
    <t>.UST.Min4</t>
  </si>
  <si>
    <t>.UST.Min5</t>
  </si>
  <si>
    <t>.UST.Min6</t>
  </si>
  <si>
    <t>.UST.Min7</t>
  </si>
  <si>
    <t>Установить значение технолог. минимум = ~</t>
  </si>
  <si>
    <t>Short</t>
  </si>
  <si>
    <t>.Item</t>
  </si>
  <si>
    <t>.KZ</t>
  </si>
  <si>
    <t>Короткое замыкание</t>
  </si>
  <si>
    <t>.Obriv</t>
  </si>
  <si>
    <t>Обрыв</t>
  </si>
  <si>
    <t>Значение параметра</t>
  </si>
  <si>
    <t>Номер панели</t>
  </si>
  <si>
    <t>поле заполняется макросом</t>
  </si>
  <si>
    <t>№ Панели.№модуль</t>
  </si>
  <si>
    <t>Номер Модуля</t>
  </si>
  <si>
    <t>Тип модуля/панели</t>
  </si>
  <si>
    <t>№ модуля NOE/NOM: / № модуля КД</t>
  </si>
  <si>
    <t>№ Drop</t>
  </si>
  <si>
    <t>№ канала модуля</t>
  </si>
  <si>
    <t>Название параметра</t>
  </si>
  <si>
    <t>=1 - есть связь по порту 1</t>
  </si>
  <si>
    <t>=1 - есть связь по порту 2</t>
  </si>
  <si>
    <t>=1 - есть связь по порту 3</t>
  </si>
  <si>
    <t>=1 - есть связь по порту 4</t>
  </si>
  <si>
    <t>DWord</t>
  </si>
  <si>
    <t>IP адрес</t>
  </si>
  <si>
    <t>=1 - индикатор APPL включен</t>
  </si>
  <si>
    <t>=1 - сконфигурирован</t>
  </si>
  <si>
    <t>=1 - в работе</t>
  </si>
  <si>
    <t>1 – логика контроллеров не совпадает</t>
  </si>
  <si>
    <t>0 – данный контроллер А, 1 – данный контроллер В</t>
  </si>
  <si>
    <t>батарея разряжена</t>
  </si>
  <si>
    <t>Информация о данном контроллере, бит 0</t>
  </si>
  <si>
    <t>Информация о данном контроллере, бит 1</t>
  </si>
  <si>
    <t>=1 - есть связь по порту 1 CRA</t>
  </si>
  <si>
    <t>=1 - есть связь по порту 2 CRA</t>
  </si>
  <si>
    <t>=1 - есть связь по порту 3 CRA</t>
  </si>
  <si>
    <t>KGMPNA.F.F!!!!num!!!!</t>
  </si>
  <si>
    <t>Шаблон для САРД</t>
  </si>
  <si>
    <t>!!!! Приоритет0</t>
  </si>
  <si>
    <t>!!!! Приоритет1</t>
  </si>
  <si>
    <t>ПИСис</t>
  </si>
  <si>
    <t>ЗонаСис</t>
  </si>
  <si>
    <t>NA.State.VVV1</t>
  </si>
  <si>
    <t>NA.State.VVV2</t>
  </si>
  <si>
    <t>NA.State.VVO1</t>
  </si>
  <si>
    <t>NA.State.VVO2</t>
  </si>
  <si>
    <t>Высоковольтный выключатель включен (основной)</t>
  </si>
  <si>
    <t>Высоковольтный выключатель отключен (основной)</t>
  </si>
  <si>
    <t>Высоковольтный выключатель включен (дублирующий)</t>
  </si>
  <si>
    <t>Высоковольтный выключатель отключен (дублирующий)</t>
  </si>
  <si>
    <t>регистр модуля DDO</t>
  </si>
  <si>
    <t>Формирование Тэгов Reg : EIO</t>
  </si>
  <si>
    <t>регистр модуля DDI(ERT)</t>
  </si>
  <si>
    <t>.NA.Narab.Pusk</t>
  </si>
  <si>
    <t>.NA.Narab.PredPusk</t>
  </si>
  <si>
    <t>.NA.Narab.BeforeRes</t>
  </si>
  <si>
    <t>.NA.Narab.BeforeReP</t>
  </si>
  <si>
    <t>.NA.Narab.CountPusk</t>
  </si>
  <si>
    <t>.NA.Narab.CountOtkaz</t>
  </si>
  <si>
    <t>VS.BanStop</t>
  </si>
  <si>
    <t>Формировать повторный запрос при отключении</t>
  </si>
  <si>
    <t>.NoColor</t>
  </si>
  <si>
    <t>Флаг что не надо красить ДП</t>
  </si>
  <si>
    <t>A2</t>
  </si>
  <si>
    <t xml:space="preserve"> </t>
  </si>
  <si>
    <t>A2.11</t>
  </si>
  <si>
    <t>.ObjNum</t>
  </si>
  <si>
    <t>!!!! Номер объекта</t>
  </si>
  <si>
    <t>R.R!!!!num!!!!</t>
  </si>
  <si>
    <t>GPZP.M.Mask!!!!num!!!!</t>
  </si>
  <si>
    <t>GPZP.P.P!!!!num!!!!</t>
  </si>
  <si>
    <t>GPZP.F.F!!!!num!!!!</t>
  </si>
  <si>
    <t>.Ust.HumDelay</t>
  </si>
  <si>
    <t>Время на эвакуацию персонала</t>
  </si>
  <si>
    <t>.Ust.NasDelay</t>
  </si>
  <si>
    <t>.Ust.ZdvDelay</t>
  </si>
  <si>
    <t>.Ust.AskDelay</t>
  </si>
  <si>
    <t>BD.ObjName</t>
  </si>
  <si>
    <t>BD.State</t>
  </si>
  <si>
    <t>Состояния</t>
  </si>
  <si>
    <t>BD.State.Full</t>
  </si>
  <si>
    <t>Полный</t>
  </si>
  <si>
    <t>BD.State.Resourc</t>
  </si>
  <si>
    <t>Аварийный запас</t>
  </si>
  <si>
    <t>BD.State.Empty</t>
  </si>
  <si>
    <t>Пуст</t>
  </si>
  <si>
    <t>BD.Mode</t>
  </si>
  <si>
    <t>Режим</t>
  </si>
  <si>
    <t>RPZV.ObjName</t>
  </si>
  <si>
    <t>RPZV.State</t>
  </si>
  <si>
    <t>RPZV.State.Rem</t>
  </si>
  <si>
    <t>Ремонт</t>
  </si>
  <si>
    <t>БдСис</t>
  </si>
  <si>
    <t>РпзвСис</t>
  </si>
  <si>
    <t>RVS.ObjName</t>
  </si>
  <si>
    <t>RVS.State</t>
  </si>
  <si>
    <t>РВССис</t>
  </si>
  <si>
    <t>BMXNOE0100</t>
  </si>
  <si>
    <t>РП_УСО_4</t>
  </si>
  <si>
    <t>.NA.ObjNum</t>
  </si>
  <si>
    <t>.VS.ObjNum</t>
  </si>
  <si>
    <t>.ZDV.ObjNum</t>
  </si>
  <si>
    <t>.RVS.ObjNum</t>
  </si>
  <si>
    <t>RVS.Sign</t>
  </si>
  <si>
    <t>Продукт поступает в зону (открыты задвижки, работает насос)</t>
  </si>
  <si>
    <t>Задержка команды «пуск» насоса</t>
  </si>
  <si>
    <t>Задержка команды «открыть» задвижек</t>
  </si>
  <si>
    <t>Длительность атаки</t>
  </si>
  <si>
    <t>Задержка на возникновение запроса об остановке</t>
  </si>
  <si>
    <t>.Ust.Dur</t>
  </si>
  <si>
    <t>State.PT</t>
  </si>
  <si>
    <t>State.Ready</t>
  </si>
  <si>
    <t>State.InProc</t>
  </si>
  <si>
    <t>Порт 1 Есть связь</t>
  </si>
  <si>
    <t>Порт 2 Есть связь</t>
  </si>
  <si>
    <t>Порт 3 Есть связь</t>
  </si>
  <si>
    <t>Порт 4 Есть связь</t>
  </si>
  <si>
    <t>Порт 5 Есть связь</t>
  </si>
  <si>
    <t>Порт 6 Есть связь</t>
  </si>
  <si>
    <t>Порт 7 Есть связь</t>
  </si>
  <si>
    <t>Порт 8 Есть связь</t>
  </si>
  <si>
    <t>Порт 9 Есть связь</t>
  </si>
  <si>
    <t>Порт 10 Есть связь</t>
  </si>
  <si>
    <t>Порт 11 Есть связь</t>
  </si>
  <si>
    <t>Порт 12 Есть связь</t>
  </si>
  <si>
    <t>Порт 13 Есть связь</t>
  </si>
  <si>
    <t>Порт 14 Есть связь</t>
  </si>
  <si>
    <t>Порт 15 Есть связь</t>
  </si>
  <si>
    <t>Порт 16 Есть связь</t>
  </si>
  <si>
    <t>.16</t>
  </si>
  <si>
    <t>.17</t>
  </si>
  <si>
    <t>.18</t>
  </si>
  <si>
    <t>.19</t>
  </si>
  <si>
    <t>.20</t>
  </si>
  <si>
    <t>.21</t>
  </si>
  <si>
    <t>.22</t>
  </si>
  <si>
    <t>.23</t>
  </si>
  <si>
    <t>.Link1</t>
  </si>
  <si>
    <t>.Link2</t>
  </si>
  <si>
    <t>ZDV.State.RSLink</t>
  </si>
  <si>
    <t>ZDV.State.RSDiff</t>
  </si>
  <si>
    <t>0.0625</t>
  </si>
  <si>
    <t>.Link</t>
  </si>
  <si>
    <t>.Channel1Link</t>
  </si>
  <si>
    <t>.Channel2Link</t>
  </si>
  <si>
    <t>!!!!</t>
  </si>
  <si>
    <t>!!!! Наличие связи с устройством</t>
  </si>
  <si>
    <t>!!!! Наличие связи с устройством по каналу 1</t>
  </si>
  <si>
    <t>!!!! Наличие связи с устройством по каналу 2</t>
  </si>
  <si>
    <t>Состояние</t>
  </si>
  <si>
    <t>.Avar</t>
  </si>
  <si>
    <t>.Pred</t>
  </si>
  <si>
    <t>.Blink</t>
  </si>
  <si>
    <t>Достижение аварийного значения технологического параметра</t>
  </si>
  <si>
    <t>Достижение предельного значения технологического параметра</t>
  </si>
  <si>
    <t>Мигающий индикатор</t>
  </si>
  <si>
    <t>Mode.TU_ostanovlen</t>
  </si>
  <si>
    <t>Технологический участок остановлен</t>
  </si>
  <si>
    <t>ZDV.State.Mufta</t>
  </si>
  <si>
    <t>ZDV.State.ErrBur</t>
  </si>
  <si>
    <t>Авария привода</t>
  </si>
  <si>
    <t>.TimeToEnd</t>
  </si>
  <si>
    <t>Время до окончания тушения</t>
  </si>
  <si>
    <t>.Alm</t>
  </si>
  <si>
    <t>Наличие связи</t>
  </si>
  <si>
    <t>Неисправность по питанию</t>
  </si>
  <si>
    <t>UINT</t>
  </si>
  <si>
    <t>Значение частоты</t>
  </si>
  <si>
    <t>Задание частоты</t>
  </si>
  <si>
    <t>Датчик частоты недостоверен</t>
  </si>
  <si>
    <t>В работе</t>
  </si>
  <si>
    <t>Дистанционное управление</t>
  </si>
  <si>
    <t>Готов к пуску</t>
  </si>
  <si>
    <t>Требуется актуализация режима</t>
  </si>
  <si>
    <t>Неисправность цепей контроля НА</t>
  </si>
  <si>
    <t>Невыполнение ЧРП команд регулирования</t>
  </si>
  <si>
    <t>State.Fire</t>
  </si>
  <si>
    <t>Флаг "Пожар"</t>
  </si>
  <si>
    <t>Пуск ЭД в дистанционном режиме</t>
  </si>
  <si>
    <t>.ZDV.RSDiag1</t>
  </si>
  <si>
    <t>.ZDV.RSDiag2</t>
  </si>
  <si>
    <t>.ZDV.Pos</t>
  </si>
  <si>
    <t>Диагностический регистр по интерфейсу (регистр 1)</t>
  </si>
  <si>
    <t>Диагностический регистр по интерфейсу (регистр 2)</t>
  </si>
  <si>
    <t>Положение задвижки</t>
  </si>
  <si>
    <t>ActUstOutPress</t>
  </si>
  <si>
    <t>SirenIsOn</t>
  </si>
  <si>
    <t>Звуковая сигнализация включена</t>
  </si>
  <si>
    <t>Степень открытия</t>
  </si>
  <si>
    <t>Датчик положения недостоверен</t>
  </si>
  <si>
    <t>ИМ открыт</t>
  </si>
  <si>
    <t>ИМ закрыт</t>
  </si>
  <si>
    <t>Наличие питания</t>
  </si>
  <si>
    <t>!!!! Сигналы ввода/вывода</t>
  </si>
  <si>
    <t>.UTS.ObjNum</t>
  </si>
  <si>
    <t>.PI.ObjNum</t>
  </si>
  <si>
    <t>.Channels</t>
  </si>
  <si>
    <t>.ZDV.Channels</t>
  </si>
  <si>
    <t>.VS.Channels</t>
  </si>
  <si>
    <t>.UTS.Channels</t>
  </si>
  <si>
    <t>.PI.Channels</t>
  </si>
  <si>
    <t>.NA.Narab.AfterTO</t>
  </si>
  <si>
    <t>.NA.Narab.AfterSR</t>
  </si>
  <si>
    <t>.KTPRA.Page1.F</t>
  </si>
  <si>
    <t>.KTPRA.Page1.P</t>
  </si>
  <si>
    <t>.KTPRA.Page1.M</t>
  </si>
  <si>
    <t>.KTPRA.Page2.F</t>
  </si>
  <si>
    <t>.KTPRA.Page2.P</t>
  </si>
  <si>
    <t>.KTPRA.Page2.M</t>
  </si>
  <si>
    <t>.KTPRA.Page3.F</t>
  </si>
  <si>
    <t>.KTPRA.Page3.P</t>
  </si>
  <si>
    <t>.KTPRA.Page3.M</t>
  </si>
  <si>
    <t>.KTPRA.Page4.F</t>
  </si>
  <si>
    <t>.KTPRA.Page4.P</t>
  </si>
  <si>
    <t>.KTPRA.Page4.M</t>
  </si>
  <si>
    <t>.KTPRA.Page5.F</t>
  </si>
  <si>
    <t>.KTPRA.Page5.P</t>
  </si>
  <si>
    <t>.KTPRA.Page5.M</t>
  </si>
  <si>
    <t>.KTPRA.Page6.F</t>
  </si>
  <si>
    <t>.KTPRA.Page6.P</t>
  </si>
  <si>
    <t>.KTPRA.Page6.M</t>
  </si>
  <si>
    <t>.KTPRA.Page7.F</t>
  </si>
  <si>
    <t>.KTPRA.Page7.P</t>
  </si>
  <si>
    <t>.KTPRA.Page7.M</t>
  </si>
  <si>
    <t>.KTPRA.Page8.F</t>
  </si>
  <si>
    <t>.KTPRA.Page8.P</t>
  </si>
  <si>
    <t>.KTPRA.Page8.M</t>
  </si>
  <si>
    <t>Состояние групп защит. Группа 1 - имеется сработка источника</t>
  </si>
  <si>
    <t>Состояние групп защит. Группа 1 - имеется сработка защиты</t>
  </si>
  <si>
    <t>Состояние групп защит. Группа 1 - имеется замаскированная защита</t>
  </si>
  <si>
    <t>Состояние групп защит. Группа 2 - имеется сработка источника</t>
  </si>
  <si>
    <t>Состояние групп защит. Группа 2 - имеется сработка защиты</t>
  </si>
  <si>
    <t>Состояние групп защит. Группа 2 - имеется замаскированная защита</t>
  </si>
  <si>
    <t>Состояние групп защит. Группа 3 - имеется сработка источника</t>
  </si>
  <si>
    <t>Состояние групп защит. Группа 3 - имеется сработка защиты</t>
  </si>
  <si>
    <t>Состояние групп защит. Группа 3 - имеется замаскированная защита</t>
  </si>
  <si>
    <t>Состояние групп защит. Группа 4 - имеется сработка источника</t>
  </si>
  <si>
    <t>Состояние групп защит. Группа 4 - имеется сработка защиты</t>
  </si>
  <si>
    <t>Состояние групп защит. Группа 4 - имеется замаскированная защита</t>
  </si>
  <si>
    <t>Состояние групп защит. Группа 5 - имеется сработка источника</t>
  </si>
  <si>
    <t>Состояние групп защит. Группа 5 - имеется сработка защиты</t>
  </si>
  <si>
    <t>Состояние групп защит. Группа 5 - имеется замаскированная защита</t>
  </si>
  <si>
    <t>Состояние групп защит. Группа 6 - имеется сработка источника</t>
  </si>
  <si>
    <t>Состояние групп защит. Группа 6 - имеется сработка защиты</t>
  </si>
  <si>
    <t>Состояние групп защит. Группа 6 - имеется замаскированная защита</t>
  </si>
  <si>
    <t>Состояние групп защит. Группа 7 - имеется сработка источника</t>
  </si>
  <si>
    <t>Состояние групп защит. Группа 7 - имеется сработка защиты</t>
  </si>
  <si>
    <t>Состояние групп защит. Группа 7 - имеется замаскированная защита</t>
  </si>
  <si>
    <t>Состояние групп защит. Группа 8 - имеется сработка источника</t>
  </si>
  <si>
    <t>Состояние групп защит. Группа 8 - имеется сработка защиты</t>
  </si>
  <si>
    <t>Состояние групп защит. Группа 8 - имеется замаскированная защита</t>
  </si>
  <si>
    <t>СардДсис</t>
  </si>
  <si>
    <t>СардЧсис</t>
  </si>
  <si>
    <t>СардГсис</t>
  </si>
  <si>
    <t>РДсис</t>
  </si>
  <si>
    <t>ЧРПсис</t>
  </si>
  <si>
    <t>ГМсис</t>
  </si>
  <si>
    <t>Freq</t>
  </si>
  <si>
    <t>FreqOut</t>
  </si>
  <si>
    <t>Uncertain</t>
  </si>
  <si>
    <t>Wrk</t>
  </si>
  <si>
    <t>Dist</t>
  </si>
  <si>
    <t>Ready</t>
  </si>
  <si>
    <t>Fail</t>
  </si>
  <si>
    <t>Error</t>
  </si>
  <si>
    <t>Link</t>
  </si>
  <si>
    <t>Start</t>
  </si>
  <si>
    <t>Mode.Act</t>
  </si>
  <si>
    <t>StateAlarm</t>
  </si>
  <si>
    <t>RegError</t>
  </si>
  <si>
    <t>Готовность к подготовке ЧРП</t>
  </si>
  <si>
    <t>Авария ЧРП, определенная по результатам работы модуля</t>
  </si>
  <si>
    <t>Crach</t>
  </si>
  <si>
    <t>ReadyPrepare</t>
  </si>
  <si>
    <t>ReadyLocal</t>
  </si>
  <si>
    <t>Порт 17 Есть связь</t>
  </si>
  <si>
    <t>Порт 18 Есть связь</t>
  </si>
  <si>
    <t>Порт 19 Есть связь</t>
  </si>
  <si>
    <t>Порт 20 Есть связь</t>
  </si>
  <si>
    <t>Порт 21 Есть связь</t>
  </si>
  <si>
    <t>Порт 22 Есть связь</t>
  </si>
  <si>
    <t>Порт 23 Есть связь</t>
  </si>
  <si>
    <t>Порт 24 Есть связь</t>
  </si>
  <si>
    <t>Порт G1 Есть связь</t>
  </si>
  <si>
    <t>Порт G2 Есть связь</t>
  </si>
  <si>
    <t>Питание 1 в норме</t>
  </si>
  <si>
    <t>Питание 2 в норме</t>
  </si>
  <si>
    <t>.ProductID</t>
  </si>
  <si>
    <t>.16H</t>
  </si>
  <si>
    <t>String</t>
  </si>
  <si>
    <t>Модель</t>
  </si>
  <si>
    <t>.FWVersion</t>
  </si>
  <si>
    <t>Номер версии</t>
  </si>
  <si>
    <t>.Temperature</t>
  </si>
  <si>
    <t>Температура</t>
  </si>
  <si>
    <t>.G1</t>
  </si>
  <si>
    <t>.G2</t>
  </si>
  <si>
    <t>.PS1Ok</t>
  </si>
  <si>
    <t>.PS2Ok</t>
  </si>
  <si>
    <t>Разрешение на запуску ЧРП в местном режиме выдано</t>
  </si>
  <si>
    <t>.ZDV.Torque</t>
  </si>
  <si>
    <t>.ZDV.Voltage</t>
  </si>
  <si>
    <t>Текущий момент</t>
  </si>
  <si>
    <t>Напряжение питания</t>
  </si>
  <si>
    <t>В мертвой зоне</t>
  </si>
  <si>
    <t>В зоне насыщения</t>
  </si>
  <si>
    <t>ZDV.State.Samohod</t>
  </si>
  <si>
    <t>Самопроизвольное изменения состояния</t>
  </si>
  <si>
    <t>ZDV.State.noEC_KTP</t>
  </si>
  <si>
    <t>Отсутствие напряжения на ЩСУ</t>
  </si>
  <si>
    <t>!!!! Контроль Макс. 1</t>
  </si>
  <si>
    <t>!!!! Контроль Макс. Пред. 2</t>
  </si>
  <si>
    <t>!!!! Контроль Макс. Пред. 3</t>
  </si>
  <si>
    <t>!!!! Контроль Макс. Авар. 4</t>
  </si>
  <si>
    <t>!!!! Контроль Макс. Авар. 5</t>
  </si>
  <si>
    <t>!!!! Контроль Макс. Авар. 6</t>
  </si>
  <si>
    <t>!!!! Контроль Мин. 1</t>
  </si>
  <si>
    <t>!!!! Контроль Мин. Пред. 2</t>
  </si>
  <si>
    <t>!!!! Контроль Мин. Пред. 3</t>
  </si>
  <si>
    <t>!!!! Контроль Мин. Авар. 4</t>
  </si>
  <si>
    <t>!!!! Контроль Мин. Авар. 5</t>
  </si>
  <si>
    <t>!!!! Контроль Мин. Авар. 6</t>
  </si>
  <si>
    <t>!!!! Установить значение макс. 1</t>
  </si>
  <si>
    <t>!!!! Установить значение макс. пред. 2</t>
  </si>
  <si>
    <t>!!!! Установить значение макс. пред. 3</t>
  </si>
  <si>
    <t>!!!! Установить значение макс. авар. 4</t>
  </si>
  <si>
    <t>!!!! Установить значение макс. авар. 5</t>
  </si>
  <si>
    <t>!!!! Установить значение макс. авар. 6</t>
  </si>
  <si>
    <t>!!!! Установить значение мин. 1</t>
  </si>
  <si>
    <t>!!!! Установить значение мин. пред. 2</t>
  </si>
  <si>
    <t>!!!! Установить значение мин. пред. 3</t>
  </si>
  <si>
    <t>!!!! Установить значение мин. авар. 4</t>
  </si>
  <si>
    <t>!!!! Установить значение мин. авар. 5</t>
  </si>
  <si>
    <t>!!!! Установить значение мин. авар. 6</t>
  </si>
  <si>
    <t>Регулирование по давлению на выходе</t>
  </si>
  <si>
    <t>Pin.Max</t>
  </si>
  <si>
    <t>Pout.Max</t>
  </si>
  <si>
    <t>В зоне регулирования</t>
  </si>
  <si>
    <t>.NumAttack</t>
  </si>
  <si>
    <t>Время до окончания эвакуации</t>
  </si>
  <si>
    <t>Номер пеннной атаки</t>
  </si>
  <si>
    <t>.TimeEvacPersonnel</t>
  </si>
  <si>
    <t>State.ScreenFire</t>
  </si>
  <si>
    <t>State.ScreenAttention</t>
  </si>
  <si>
    <t>State.ScreenNotReady</t>
  </si>
  <si>
    <t>Флаг для транспоранта "Пожар"</t>
  </si>
  <si>
    <t>Флаг для транспоранта "Внимание"</t>
  </si>
  <si>
    <t>Флаг для транспоранта "Не готова"</t>
  </si>
  <si>
    <t>PI.State.Far</t>
  </si>
  <si>
    <t>PI.State.Fast</t>
  </si>
  <si>
    <t>Далеко близко</t>
  </si>
  <si>
    <t>Быстро медленно</t>
  </si>
  <si>
    <t>PI.State.Fixation</t>
  </si>
  <si>
    <t>Фиксация</t>
  </si>
  <si>
    <t>Mode.Local</t>
  </si>
  <si>
    <t>Mode.Remote</t>
  </si>
  <si>
    <t>Режим управления С ДИСПЛЕЙНОЙ ПАНЕЛИ</t>
  </si>
  <si>
    <t>Режим управления ВНЕШНИЙ</t>
  </si>
  <si>
    <t>Pos</t>
  </si>
  <si>
    <t>Speed</t>
  </si>
  <si>
    <t>Задания скорости</t>
  </si>
  <si>
    <t>Open</t>
  </si>
  <si>
    <t>Close</t>
  </si>
  <si>
    <t>Remote</t>
  </si>
  <si>
    <t>Power</t>
  </si>
  <si>
    <t>ActUstPos</t>
  </si>
  <si>
    <t>Mode.CurrPos</t>
  </si>
  <si>
    <t>Mode.CurrProc</t>
  </si>
  <si>
    <t>Mode.LocalPos</t>
  </si>
  <si>
    <t>Mode.LocalProc</t>
  </si>
  <si>
    <t>Mode.VneshPos</t>
  </si>
  <si>
    <t>Mode.VneshProc</t>
  </si>
  <si>
    <t>MOpen</t>
  </si>
  <si>
    <t>MClose</t>
  </si>
  <si>
    <t>Муфта на открытие</t>
  </si>
  <si>
    <t>Муфта на закрытие</t>
  </si>
  <si>
    <t>.RawValue</t>
  </si>
  <si>
    <t>Значение аналогового параметра (для истории)</t>
  </si>
  <si>
    <t>.FieldValue</t>
  </si>
  <si>
    <t>Значение аналогового параметра с поля</t>
  </si>
  <si>
    <t>Local</t>
  </si>
  <si>
    <t>Ключ в положение АВТОМАТИЧЕСКИЙ</t>
  </si>
  <si>
    <t>Ключ в положение РУЧНОЙ</t>
  </si>
  <si>
    <t>RCP</t>
  </si>
  <si>
    <t>Код текущего управляющего РДП/ТДП</t>
  </si>
  <si>
    <t>%</t>
  </si>
  <si>
    <t>об/мин</t>
  </si>
  <si>
    <t>Linear</t>
  </si>
  <si>
    <t>!!!! Название параметра!!!!. Есть параметр защиты</t>
  </si>
  <si>
    <t>!!!! Название параметра!!!!. Маска</t>
  </si>
  <si>
    <t>!!!! Название параметра!!!!</t>
  </si>
  <si>
    <t>KTPRA.F</t>
  </si>
  <si>
    <t>Есть параметр защиты</t>
  </si>
  <si>
    <t>KTPRA.M</t>
  </si>
  <si>
    <t>Есть маска</t>
  </si>
  <si>
    <t>KTPRA.P</t>
  </si>
  <si>
    <t>Есть защита</t>
  </si>
  <si>
    <t>406797.0</t>
  </si>
  <si>
    <t>406797.1</t>
  </si>
  <si>
    <t>406797.2</t>
  </si>
  <si>
    <t>KTPR.F</t>
  </si>
  <si>
    <t>KTPR.M</t>
  </si>
  <si>
    <t>KTPR.P</t>
  </si>
  <si>
    <t>KGMPNA.F</t>
  </si>
  <si>
    <t>KGMPNA.M</t>
  </si>
  <si>
    <t>KGMPNA.P</t>
  </si>
  <si>
    <t>!!!! Название параметра!!!!. Есть параметр готовности</t>
  </si>
  <si>
    <t>Есть параметр готовности</t>
  </si>
  <si>
    <t>Нет готовности</t>
  </si>
  <si>
    <t>.NA.LimPuskRemain</t>
  </si>
  <si>
    <t>Оставшееся время ограничение пуска</t>
  </si>
  <si>
    <t>!!!! Dynamic</t>
  </si>
  <si>
    <t>Обрыв или общая неисправность</t>
  </si>
  <si>
    <t>КЗ или загрязнение оптики</t>
  </si>
  <si>
    <t>VS.State.MPfail</t>
  </si>
  <si>
    <t>МП(ВВ) неисправен</t>
  </si>
  <si>
    <t>МП(ВВ) включен</t>
  </si>
  <si>
    <t>МПа</t>
  </si>
  <si>
    <t>Pin.EUnits</t>
  </si>
  <si>
    <t>Pin.ObjName</t>
  </si>
  <si>
    <t>Pin.Uncertain</t>
  </si>
  <si>
    <t>Pin.Channels</t>
  </si>
  <si>
    <t>Pin.Value</t>
  </si>
  <si>
    <t>Pout.EUnits</t>
  </si>
  <si>
    <t>Pout.ObjName</t>
  </si>
  <si>
    <t>Pout.Uncertain</t>
  </si>
  <si>
    <t>Pout.Channels</t>
  </si>
  <si>
    <t>Pout.Value</t>
  </si>
  <si>
    <t>.ImitValue</t>
  </si>
  <si>
    <t>Значение имитации</t>
  </si>
  <si>
    <t>.Ust.CtrlUst</t>
  </si>
  <si>
    <t>Контроль наличия уставок</t>
  </si>
  <si>
    <t>UTS.KZ</t>
  </si>
  <si>
    <t>UTS.Obr</t>
  </si>
  <si>
    <t>UTS.Err</t>
  </si>
  <si>
    <t>UTS.Good</t>
  </si>
  <si>
    <t>Линия исправна</t>
  </si>
  <si>
    <t>Обрыв линии</t>
  </si>
  <si>
    <t>Короткое замыкание линии</t>
  </si>
  <si>
    <t>Нарушение целостности линии</t>
  </si>
  <si>
    <t>.UST.VeracityBottom</t>
  </si>
  <si>
    <t>Нижний порог достоверности</t>
  </si>
  <si>
    <t>.UST.VeracityTop</t>
  </si>
  <si>
    <t>Верхний порог достоверности</t>
  </si>
  <si>
    <t>СОДсис</t>
  </si>
  <si>
    <t>Скребок прошел</t>
  </si>
  <si>
    <t>Контроль завершен успешно</t>
  </si>
  <si>
    <t>FreqSet</t>
  </si>
  <si>
    <t>Текущая уставка частоты</t>
  </si>
  <si>
    <t>Stop</t>
  </si>
  <si>
    <t>StopLocal</t>
  </si>
  <si>
    <t>Braking</t>
  </si>
  <si>
    <t>Acceleration</t>
  </si>
  <si>
    <t>SpeedMin</t>
  </si>
  <si>
    <t>SpeedMax</t>
  </si>
  <si>
    <t>ReadyCharge</t>
  </si>
  <si>
    <t>ReadyDischarge</t>
  </si>
  <si>
    <t>Стоп ЭД в дистанционном режиме</t>
  </si>
  <si>
    <t>Аварийное отключение кнопкой "Стоп" с ЧРП</t>
  </si>
  <si>
    <t>Торможение</t>
  </si>
  <si>
    <t>Разгон</t>
  </si>
  <si>
    <t>Минимальная скорость</t>
  </si>
  <si>
    <t>Максимальная скорость</t>
  </si>
  <si>
    <t>ЧРП готов к заряду</t>
  </si>
  <si>
    <t>ЧРП готов к разряду</t>
  </si>
  <si>
    <t>Mode.Repair</t>
  </si>
  <si>
    <t>Mode.Freq</t>
  </si>
  <si>
    <t>Mode.Press</t>
  </si>
  <si>
    <t>Imit</t>
  </si>
  <si>
    <t>Режим "Ремонт"</t>
  </si>
  <si>
    <t>Режим "Ручное задание частоты"</t>
  </si>
  <si>
    <t>Режим "Автоматический по давлению"</t>
  </si>
  <si>
    <t>Режим  "Общее задание частоты"</t>
  </si>
  <si>
    <t>RF</t>
  </si>
  <si>
    <t>Выполняется РФ</t>
  </si>
  <si>
    <t>Pin.Outside</t>
  </si>
  <si>
    <t>Pin.Man</t>
  </si>
  <si>
    <t>Pin.Min</t>
  </si>
  <si>
    <t>Pin.Shift</t>
  </si>
  <si>
    <t>Pin.Main</t>
  </si>
  <si>
    <t>Pin.SensorInvalid</t>
  </si>
  <si>
    <t>Pin.SpeedInvalid</t>
  </si>
  <si>
    <t>Pin.SetUncertain</t>
  </si>
  <si>
    <t>Pin.CfgBad</t>
  </si>
  <si>
    <t>Pin.Secondary</t>
  </si>
  <si>
    <t>Выход из зоны регулирования</t>
  </si>
  <si>
    <t>Ручной режим</t>
  </si>
  <si>
    <t>Регулятор остановлен</t>
  </si>
  <si>
    <t>Выход минимальный</t>
  </si>
  <si>
    <t>Выход максимальный</t>
  </si>
  <si>
    <t>Смещение уставки</t>
  </si>
  <si>
    <t>Ведущий регулятор</t>
  </si>
  <si>
    <t>Авария датчика</t>
  </si>
  <si>
    <t>Авария датчика скорости</t>
  </si>
  <si>
    <t>Недостоверность уставки</t>
  </si>
  <si>
    <t>Недостоверность настроек</t>
  </si>
  <si>
    <t>Резервный датчик</t>
  </si>
  <si>
    <t>Pout.SensorInvalid</t>
  </si>
  <si>
    <t>Pout.SpeedInvalid</t>
  </si>
  <si>
    <t>Pout.SetUncertain</t>
  </si>
  <si>
    <t>Pout.CfgBad</t>
  </si>
  <si>
    <t>Pout.Secondary</t>
  </si>
  <si>
    <t>Pout.Outside</t>
  </si>
  <si>
    <t>Pout.Man</t>
  </si>
  <si>
    <t>Pout.Hide</t>
  </si>
  <si>
    <t>Pout.Min</t>
  </si>
  <si>
    <t>Pout.Shift</t>
  </si>
  <si>
    <t>Pout.Main</t>
  </si>
  <si>
    <t>Pout.Set.EUnits</t>
  </si>
  <si>
    <t>Pout.Set.ObjName</t>
  </si>
  <si>
    <t>Pout.Set.Uncertain</t>
  </si>
  <si>
    <t>Pout.Set.Channels</t>
  </si>
  <si>
    <t>Pout.Set.Value</t>
  </si>
  <si>
    <t>Pin.Set.EUnits</t>
  </si>
  <si>
    <t>Pin.Set.ObjName</t>
  </si>
  <si>
    <t>Pin.Set.Uncertain</t>
  </si>
  <si>
    <t>Pin.Set.Channels</t>
  </si>
  <si>
    <t>Pin.Set.Value</t>
  </si>
  <si>
    <t>Freq.Set.EUnits</t>
  </si>
  <si>
    <t>Freq.Set.ObjName</t>
  </si>
  <si>
    <t>Freq.Set.Uncertain</t>
  </si>
  <si>
    <t>Freq.Set.Channels</t>
  </si>
  <si>
    <t>Freq.Set.Value</t>
  </si>
  <si>
    <t>Давление нефтепродукта на приеме MHC-2</t>
  </si>
  <si>
    <t>Давление нефтепродукта на выходе MHC-2</t>
  </si>
  <si>
    <t>Текущая уставка давления нефтепродукта на приеме MHC-2</t>
  </si>
  <si>
    <t>Текущая уставка давления нефтепродукта на выходе MHC-2</t>
  </si>
  <si>
    <t>Текущая уставка общей частоты МНА</t>
  </si>
  <si>
    <t>Режим "Автоматический"</t>
  </si>
  <si>
    <t>Mode.Auto</t>
  </si>
  <si>
    <t>Неисправность датчика контроля скребка</t>
  </si>
  <si>
    <t>.State.Gone</t>
  </si>
  <si>
    <t>.State.ControlOK</t>
  </si>
  <si>
    <t>.State.Error</t>
  </si>
  <si>
    <t>ZDV.State.DistExist</t>
  </si>
  <si>
    <t>Наличие ключа ДУ/МУ</t>
  </si>
  <si>
    <t>Pin.Deadband</t>
  </si>
  <si>
    <t>Pout.Deadband</t>
  </si>
  <si>
    <t>.FieldCurrent</t>
  </si>
  <si>
    <t>Значение тока</t>
  </si>
  <si>
    <t>мА</t>
  </si>
  <si>
    <t>UTS.Blocked</t>
  </si>
  <si>
    <t>Заблокирована</t>
  </si>
  <si>
    <t>!!!! Название !!!!. Количество пусков</t>
  </si>
  <si>
    <t>!!!! Название !!!!. Количество отказов</t>
  </si>
  <si>
    <t>!!!! Название !!!!. Время работы с момента запуска</t>
  </si>
  <si>
    <t>!!!! Название !!!!. Время работы в предыдущем запуске</t>
  </si>
  <si>
    <t>!!!! Название !!!!. Время до перехода на резерв</t>
  </si>
  <si>
    <t>!!!! Название !!!!. Время до кап. ремонта</t>
  </si>
  <si>
    <t>!!!! Название !!!!. Время работы после ТО</t>
  </si>
  <si>
    <t>!!!! Название !!!!. Время работы после СР</t>
  </si>
  <si>
    <t>Pin.Hide</t>
  </si>
  <si>
    <t>PinTM.Set.Value</t>
  </si>
  <si>
    <t>PoutTM.Set.Value</t>
  </si>
  <si>
    <t>Текущая уставка давления нефтепродукта на приеме MHC-2 от ТДП (требующая подтверждения)</t>
  </si>
  <si>
    <t>Текущая уставка давления нефтепродукта на выходе MHC-2 от ТДП (требующая подтверждения)</t>
  </si>
  <si>
    <t>Pdif.P3.Value</t>
  </si>
  <si>
    <t>Pdif.P3.Channels</t>
  </si>
  <si>
    <t>Перепад давления на регуляторе давления (точка 3)</t>
  </si>
  <si>
    <t>Pdif.P3.ObjName</t>
  </si>
  <si>
    <t>Pdif.P3.EUnits</t>
  </si>
  <si>
    <t>Pdif.P2.Value</t>
  </si>
  <si>
    <t>Pdif.P2.Channels</t>
  </si>
  <si>
    <t>Перепад давления на регуляторе давления (точка 2)</t>
  </si>
  <si>
    <t>Pdif.P2.ObjName</t>
  </si>
  <si>
    <t>Pdif.P2.EUnits</t>
  </si>
  <si>
    <t>Pdif.P1.Value</t>
  </si>
  <si>
    <t>Pdif.P1.Channels</t>
  </si>
  <si>
    <t>Перепад давления на регуляторе давления (точка 1)</t>
  </si>
  <si>
    <t>Pdif.P1.ObjName</t>
  </si>
  <si>
    <t>Pdif.P1.EUnits</t>
  </si>
  <si>
    <t>Pcol.P3.Value</t>
  </si>
  <si>
    <t>Pcol.P3.Channels</t>
  </si>
  <si>
    <t>Давление нефти в коллекторе МНС (точка 3)</t>
  </si>
  <si>
    <t>Pcol.P3.ObjName</t>
  </si>
  <si>
    <t>Pcol.P3.EUnits</t>
  </si>
  <si>
    <t>Pcol.P2.Value</t>
  </si>
  <si>
    <t>Pcol.P2.Channels</t>
  </si>
  <si>
    <t>Давление нефти в коллекторе МНС (точка 2)</t>
  </si>
  <si>
    <t>Pcol.P2.ObjName</t>
  </si>
  <si>
    <t>Pcol.P2.EUnits</t>
  </si>
  <si>
    <t>Pcol.P1.Value</t>
  </si>
  <si>
    <t>Pcol.P1.Channels</t>
  </si>
  <si>
    <t>Давление нефти в коллекторе МНС (точка 1)</t>
  </si>
  <si>
    <t>Pcol.P1.ObjName</t>
  </si>
  <si>
    <t>Pcol.P1.EUnits</t>
  </si>
  <si>
    <t>Pout.P3.Value</t>
  </si>
  <si>
    <t>Pout.P3.Channels</t>
  </si>
  <si>
    <t>Давление нефти на выходе НПС (точка 3)</t>
  </si>
  <si>
    <t>Pout.P3.ObjName</t>
  </si>
  <si>
    <t>Pout.P3.EUnits</t>
  </si>
  <si>
    <t>Pout.P2.Value</t>
  </si>
  <si>
    <t>Pout.P2.Channels</t>
  </si>
  <si>
    <t>Давление нефти на выходе НПС (точка 2)</t>
  </si>
  <si>
    <t>Pout.P2.ObjName</t>
  </si>
  <si>
    <t>Pout.P2.EUnits</t>
  </si>
  <si>
    <t>Pout.P1.Value</t>
  </si>
  <si>
    <t>Pout.P1.Channels</t>
  </si>
  <si>
    <t>Давление нефти на выходе НПС (точка 1)</t>
  </si>
  <si>
    <t>Pout.P1.ObjName</t>
  </si>
  <si>
    <t>Pout.P1.EUnits</t>
  </si>
  <si>
    <t>Pin.P3.Value</t>
  </si>
  <si>
    <t>Pin.P3.Channels</t>
  </si>
  <si>
    <t>Давление нефти на входе МНС (точка 3)</t>
  </si>
  <si>
    <t>Pin.P3.ObjName</t>
  </si>
  <si>
    <t>Pin.P3.EUnits</t>
  </si>
  <si>
    <t>Pin.P2.Value</t>
  </si>
  <si>
    <t>Pin.P2.Channels</t>
  </si>
  <si>
    <t>Давление нефти на входе МНС (точка 2)</t>
  </si>
  <si>
    <t>Pin.P2.ObjName</t>
  </si>
  <si>
    <t>Pin.P2.EUnits</t>
  </si>
  <si>
    <t>Pin.P1.Value</t>
  </si>
  <si>
    <t>Pin.P1.Channels</t>
  </si>
  <si>
    <t>Давление нефти на входе МНС (точка 1)</t>
  </si>
  <si>
    <t>Pin.P1.ObjName</t>
  </si>
  <si>
    <t>Pin.P1.EUnits</t>
  </si>
  <si>
    <t>Активный датчик</t>
  </si>
  <si>
    <t>Pdif.P3.Active</t>
  </si>
  <si>
    <t>Pdif.P2.Active</t>
  </si>
  <si>
    <t>Pdif.P1.Active</t>
  </si>
  <si>
    <t>Pcol.P3.Active</t>
  </si>
  <si>
    <t>Pcol.P2.Active</t>
  </si>
  <si>
    <t>Pcol.P1.Active</t>
  </si>
  <si>
    <t>Pout.P3.Active</t>
  </si>
  <si>
    <t>Pout.P2.Active</t>
  </si>
  <si>
    <t>Pout.P1.Active</t>
  </si>
  <si>
    <t>Pin.P3.Active</t>
  </si>
  <si>
    <t>Pin.P2.Active</t>
  </si>
  <si>
    <t>Pin.P1.Active</t>
  </si>
  <si>
    <t>Pdif.P3.Uncertain</t>
  </si>
  <si>
    <t>Pdif.P2.Uncertain</t>
  </si>
  <si>
    <t>Pdif.P1.Uncertain</t>
  </si>
  <si>
    <t>Pcol.P3.Uncertain</t>
  </si>
  <si>
    <t>Pcol.P2.Uncertain</t>
  </si>
  <si>
    <t>Pcol.P1.Uncertain</t>
  </si>
  <si>
    <t>Pout.P3.Uncertain</t>
  </si>
  <si>
    <t>Pout.P2.Uncertain</t>
  </si>
  <si>
    <t>Pout.P1.Uncertain</t>
  </si>
  <si>
    <t>Pin.P3.Uncertain</t>
  </si>
  <si>
    <t>Pin.P2.Uncertain</t>
  </si>
  <si>
    <t>Pin.P1.Uncertain</t>
  </si>
  <si>
    <t>Синхронизация РД заблокирована</t>
  </si>
  <si>
    <t>BlockSync</t>
  </si>
  <si>
    <t>Демпфирование по перепаду давления на РД заблокировано</t>
  </si>
  <si>
    <t>Pdif.BlockDamp</t>
  </si>
  <si>
    <t>РФ по давлению на входе заблокирована</t>
  </si>
  <si>
    <t>Pin.BlockRF</t>
  </si>
  <si>
    <t>Контур по давлению на выходе заблокирован</t>
  </si>
  <si>
    <t>Pout.BlockLoop</t>
  </si>
  <si>
    <t>Контур по давлению на входе заблокирован</t>
  </si>
  <si>
    <t>Pin.BlockLoop</t>
  </si>
  <si>
    <t>Pout.Loop.Full</t>
  </si>
  <si>
    <t>Pout.Loop.Reg</t>
  </si>
  <si>
    <t>В зоне интегрирования</t>
  </si>
  <si>
    <t>Pout.Loop.Integr</t>
  </si>
  <si>
    <t>Pout.Loop.DB</t>
  </si>
  <si>
    <t>Контур отключен</t>
  </si>
  <si>
    <t>Pout.Loop.Off</t>
  </si>
  <si>
    <t>Выход контура отрицательный (открытие заслонки)</t>
  </si>
  <si>
    <t>Pout.Loop.Negative</t>
  </si>
  <si>
    <t>Pout.Loop.Active</t>
  </si>
  <si>
    <t>Рамповая функция</t>
  </si>
  <si>
    <t>Pin.RF</t>
  </si>
  <si>
    <t>Pin.Loop.Full</t>
  </si>
  <si>
    <t>Pin.Loop.Reg</t>
  </si>
  <si>
    <t>Pin.Loop.Integr</t>
  </si>
  <si>
    <t>Pin.Loop.DB</t>
  </si>
  <si>
    <t>Pin.Loop.Off</t>
  </si>
  <si>
    <t>Pin.Loop.Negative</t>
  </si>
  <si>
    <t>Регулирование по давлению на входе</t>
  </si>
  <si>
    <t>Pin.Loop.Active</t>
  </si>
  <si>
    <t>Ключ режима управления неисправен (1-1)</t>
  </si>
  <si>
    <t>Mode.Alm1</t>
  </si>
  <si>
    <t>Ключ режима управления неисправен (0-0)</t>
  </si>
  <si>
    <t>Mode.Alm0</t>
  </si>
  <si>
    <t>Ключ режима управления неисправен</t>
  </si>
  <si>
    <t>Mode.Alm</t>
  </si>
  <si>
    <t>Идет синхронизация РД</t>
  </si>
  <si>
    <t>Sync</t>
  </si>
  <si>
    <t>Требуется актуализация уставку по давлению на выходе</t>
  </si>
  <si>
    <t>Требуется актуализация уставку по давлению на входе</t>
  </si>
  <si>
    <t>ActUstInPress</t>
  </si>
  <si>
    <t>Loop.Full</t>
  </si>
  <si>
    <t>Loop.Reg</t>
  </si>
  <si>
    <t>Loop.Integr</t>
  </si>
  <si>
    <t>Loop.DB</t>
  </si>
  <si>
    <t>Loop.Off</t>
  </si>
  <si>
    <t>Loop.Negative</t>
  </si>
  <si>
    <t>Регулирование по положению</t>
  </si>
  <si>
    <t>Loop.Active</t>
  </si>
  <si>
    <t>Режим автоматический по давлению (ДИСТАНЦИОННЫЙ)</t>
  </si>
  <si>
    <t>Режим автоматический по положению (ДИСТАНЦИОННЫЙ)</t>
  </si>
  <si>
    <t>Режим автоматический по давлению (МЕСТНЫЙ)</t>
  </si>
  <si>
    <t>Режим автоматический по положению (МЕСТНЫЙ)</t>
  </si>
  <si>
    <t>Режим автоматический по давлению</t>
  </si>
  <si>
    <t>Режим автоматический по положению</t>
  </si>
  <si>
    <t>Требуется актуализация уставку по положению</t>
  </si>
  <si>
    <t>Ограничение положения заблокировано</t>
  </si>
  <si>
    <t>BlockLimit</t>
  </si>
  <si>
    <t>Демпфирование по положению заблокировано</t>
  </si>
  <si>
    <t>BlockDamp</t>
  </si>
  <si>
    <t>ИМ закрыт (виртуальный)</t>
  </si>
  <si>
    <t>CloseVirt</t>
  </si>
  <si>
    <t>ИМ открыт (виртуальный)</t>
  </si>
  <si>
    <t>OpenVirt</t>
  </si>
  <si>
    <t>Mode.EastDirection</t>
  </si>
  <si>
    <t>Работа в восточном направлении</t>
  </si>
  <si>
    <t>.Ust.Inert</t>
  </si>
  <si>
    <t>.Ust.TimeOn</t>
  </si>
  <si>
    <t>.Ust.TimeOff</t>
  </si>
  <si>
    <t>Время инерционности системы</t>
  </si>
  <si>
    <t>Длительность запуска АСПТ</t>
  </si>
  <si>
    <t>Длительность останова АСПТ</t>
  </si>
  <si>
    <t>Цвет элемента</t>
  </si>
  <si>
    <t>PI.State</t>
  </si>
  <si>
    <t>PI.State.Uncertain</t>
  </si>
  <si>
    <t>Не связи</t>
  </si>
  <si>
    <t>PI.State.Freeze</t>
  </si>
  <si>
    <t>Замороженное состояние (состояние не обновляется)</t>
  </si>
  <si>
    <t>BD.State.Err</t>
  </si>
  <si>
    <t>R/O</t>
  </si>
  <si>
    <t>!!!! Название!!!! Защита</t>
  </si>
  <si>
    <t>!!!! Название!!!!. Источник</t>
  </si>
  <si>
    <t>State.InProcStart</t>
  </si>
  <si>
    <t>State.InProcStop</t>
  </si>
  <si>
    <t>Запускается</t>
  </si>
  <si>
    <t>Останавливается</t>
  </si>
  <si>
    <t>ZDV.State.FailOpen</t>
  </si>
  <si>
    <t>ZDV.State.FailClose</t>
  </si>
  <si>
    <t>ZDV.State.FailStop</t>
  </si>
  <si>
    <t>ZDV.State.UnpromtedOpen</t>
  </si>
  <si>
    <t>ZDV.State.UnpromtedClose</t>
  </si>
  <si>
    <t>Невыполнение команды закрытия</t>
  </si>
  <si>
    <t>Невыполнение команды открытия</t>
  </si>
  <si>
    <t>Невыполнение команды стоп</t>
  </si>
  <si>
    <t>Наличие связи по интерфейсному каналу</t>
  </si>
  <si>
    <t>Муфта</t>
  </si>
  <si>
    <t>Моментный выключатель открытия</t>
  </si>
  <si>
    <t>Моментный выключатель закрытия</t>
  </si>
  <si>
    <t>Самопроизвольное закрытие</t>
  </si>
  <si>
    <t xml:space="preserve">Самопроизвольное открытие </t>
  </si>
  <si>
    <t>Расхождение данных по интерфейсному каналу и контрольному кабелю</t>
  </si>
  <si>
    <t>Несоответствие режима со смежными станциями</t>
  </si>
  <si>
    <t>Режим отличается от требуемого</t>
  </si>
  <si>
    <t>STATION_PNS2</t>
  </si>
  <si>
    <r>
      <t xml:space="preserve">Состояние </t>
    </r>
    <r>
      <rPr>
        <b/>
        <sz val="11"/>
        <color theme="1"/>
        <rFont val="Calibri"/>
        <family val="2"/>
        <charset val="204"/>
        <scheme val="minor"/>
      </rPr>
      <t>ПНС-2</t>
    </r>
  </si>
  <si>
    <t>STATION_PNS2.WORKING</t>
  </si>
  <si>
    <t>ПНС-2 в работе</t>
  </si>
  <si>
    <t>STATION_PNS2.STOPPED</t>
  </si>
  <si>
    <t>ПНС-2 остановлена</t>
  </si>
  <si>
    <t>STATION_PNS2.AVAR</t>
  </si>
  <si>
    <t>ПНС-2 Авария</t>
  </si>
  <si>
    <t>STATION_PNS2.COLL_OPEN_IN</t>
  </si>
  <si>
    <t>STATION_PNS2.COLL_CLOSED_IN</t>
  </si>
  <si>
    <t>Резерв</t>
  </si>
  <si>
    <t>STATION_PNS3</t>
  </si>
  <si>
    <r>
      <t xml:space="preserve">Состояние </t>
    </r>
    <r>
      <rPr>
        <b/>
        <sz val="11"/>
        <color theme="1"/>
        <rFont val="Calibri"/>
        <family val="2"/>
        <charset val="204"/>
        <scheme val="minor"/>
      </rPr>
      <t>ПНС-3</t>
    </r>
  </si>
  <si>
    <t>STATION_PNS3.WORKING</t>
  </si>
  <si>
    <t>ПНС-3 в работе</t>
  </si>
  <si>
    <t>STATION_PNS3.STOPPED</t>
  </si>
  <si>
    <t>ПНС-3 остановлена</t>
  </si>
  <si>
    <t>STATION_PNS3.AVAR</t>
  </si>
  <si>
    <t>ПНС-3. Авария</t>
  </si>
  <si>
    <t>STATION_PNS3.COLL_OPEN_IN</t>
  </si>
  <si>
    <t>STATION_PNS3.COLL_CLOSED_IN</t>
  </si>
  <si>
    <t>ПНС-4 в работе</t>
  </si>
  <si>
    <t>ПНС-4 остановлена</t>
  </si>
  <si>
    <t>ПНС-4. Авария</t>
  </si>
  <si>
    <t>STATION_IMIT</t>
  </si>
  <si>
    <t xml:space="preserve">Флаги Имитация </t>
  </si>
  <si>
    <t>STATION_IMIT.PNS4</t>
  </si>
  <si>
    <t>Один из сигналов от ПНС-4 заимитирован</t>
  </si>
  <si>
    <t>STATION_IMIT.PNS3</t>
  </si>
  <si>
    <t>Один из сигналов от ПНС-3 заимитирован</t>
  </si>
  <si>
    <t>STATION_IMIT.PNS2</t>
  </si>
  <si>
    <t>Один из сигналов от ПНС-2 заимитирован</t>
  </si>
  <si>
    <t>STATION_IMIT.MNS4</t>
  </si>
  <si>
    <t>Один из сигналов от МНС-4 заимитирован</t>
  </si>
  <si>
    <t>STATION_IMIT.MNS3</t>
  </si>
  <si>
    <t>Один из сигналов от МНС-3 заимитирован</t>
  </si>
  <si>
    <t>STATION_IMIT.MNS2</t>
  </si>
  <si>
    <t>Один из сигналов от МНС-2 заимитирован</t>
  </si>
  <si>
    <t>STATION_IMIT.RP</t>
  </si>
  <si>
    <t>Один из сигналов от РП заимитирован</t>
  </si>
  <si>
    <t>REZERV</t>
  </si>
  <si>
    <t>Режим работы ПНС-3: ПНС-3 В РАБОТЕ С МНС-3</t>
  </si>
  <si>
    <t xml:space="preserve">Режим работы ПНС-3: ПНС-3 + ПНС-2 В РАБОТЕ С МНС-3 </t>
  </si>
  <si>
    <t xml:space="preserve">Режим работы ПНС-3: ПНС-3 + ПНС-4 В РАБОТЕ С МНС-3 </t>
  </si>
  <si>
    <t>Режим работы ПНС-3: ПНС-3 + ПНС-4 В РАБОТЕ С МНС-4</t>
  </si>
  <si>
    <t>MODE_PNS3</t>
  </si>
  <si>
    <t>Головная 1. МНС-3 в работе с ПНС-3 и РП</t>
  </si>
  <si>
    <t>Головная 2. МНС-3 в работе с ПНС-2 и РП</t>
  </si>
  <si>
    <t>Головная 3. МНС-3 в работе с ПНС-4 и РП</t>
  </si>
  <si>
    <t>Головная 5. МНС-3 в работе с ПНС-3+ПНС-4 и РП</t>
  </si>
  <si>
    <t>Головная 4. МНС-3 в работе с ПНС-3+ПНС-2 и РП</t>
  </si>
  <si>
    <t xml:space="preserve">Режим работы ПНС-2: ПНС-2 В РАБОТЕ С МНС-2 </t>
  </si>
  <si>
    <t>Режим работы ПНС-2: ПНС-2+ ПНС-3 В РАБОТЕ С МНС-3</t>
  </si>
  <si>
    <t xml:space="preserve">ПНС-2. Входной коллектор открыт </t>
  </si>
  <si>
    <t>ПНС-2. Входной коллектор не открыт</t>
  </si>
  <si>
    <t xml:space="preserve">ПНС-2. Выходной коллектор на прием МНС-3 открыт </t>
  </si>
  <si>
    <t xml:space="preserve">ПНС-2. Выходной коллектор на прием МНС-3 не открыт </t>
  </si>
  <si>
    <t xml:space="preserve">ПНС-2. Выходной коллектор на прием МНС-2 открыт </t>
  </si>
  <si>
    <t xml:space="preserve">ПНС-2. Выходной коллектор на прием МНС-2 не открыт </t>
  </si>
  <si>
    <t xml:space="preserve">ПНС-3. Входной коллектор открыт </t>
  </si>
  <si>
    <t xml:space="preserve">ПНС-3. Входной коллектор не открыт </t>
  </si>
  <si>
    <t xml:space="preserve">ПНС-3. Выходной коллектор на прием МНС-3 (МНС-2) открыт </t>
  </si>
  <si>
    <t xml:space="preserve">ПНС-3. Выходной коллектор на прием МНС-3 (МНС-2) не открыт </t>
  </si>
  <si>
    <t xml:space="preserve">ПНС-3. Выходной коллектор на прием МНС-4 открыт </t>
  </si>
  <si>
    <t>ПНС-3. Выходной коллектор на прием МНС-4 не открыт</t>
  </si>
  <si>
    <r>
      <t xml:space="preserve">Состояние </t>
    </r>
    <r>
      <rPr>
        <b/>
        <sz val="11"/>
        <color theme="1"/>
        <rFont val="Calibri"/>
        <family val="2"/>
        <charset val="204"/>
        <scheme val="minor"/>
      </rPr>
      <t>ПНС-4</t>
    </r>
  </si>
  <si>
    <t xml:space="preserve">Режим работы ПНС-4: ПНС-4 В РАБОТЕ С МНС-4 </t>
  </si>
  <si>
    <t xml:space="preserve">Режим работы ПНС-4: ПНС-4 + ПНС-3 В РАБОТЕ С МНС-4 </t>
  </si>
  <si>
    <t xml:space="preserve">Режим работы ПНС-4: ПНС-4 + ПНС-2 В РАБОТЕ С МНС-4 </t>
  </si>
  <si>
    <t xml:space="preserve">ПНС-4. Входной коллектор открыт </t>
  </si>
  <si>
    <t xml:space="preserve">ПНС-4. Входной коллектор не открыт </t>
  </si>
  <si>
    <t xml:space="preserve">ПНС-4. Выходной коллектор на прием МНС-3 открыт </t>
  </si>
  <si>
    <t xml:space="preserve">ПНС-4. Выходной коллектор на прием МНС-3 не открыт </t>
  </si>
  <si>
    <t>STATION_PNS4</t>
  </si>
  <si>
    <t>STATION_PNS4.WORKING</t>
  </si>
  <si>
    <t>STATION_PNS4.STOPPED</t>
  </si>
  <si>
    <t>STATION_PNS4.AVAR</t>
  </si>
  <si>
    <t>STATION_PNS4.COLL_OPEN_IN</t>
  </si>
  <si>
    <t>STATION_PNS4.COLL_CLOSED_IN</t>
  </si>
  <si>
    <t>Режим управления МНС-3</t>
  </si>
  <si>
    <t>Слово для всплывающих окон на ВУ</t>
  </si>
  <si>
    <t>WARNING_WINDOWS3.0</t>
  </si>
  <si>
    <t>WARNING_WINDOWS3.1</t>
  </si>
  <si>
    <t>WARNING_WINDOWS3.2</t>
  </si>
  <si>
    <t>WARNING_WINDOWS3.3</t>
  </si>
  <si>
    <t>WARNING_WINDOWS3.4</t>
  </si>
  <si>
    <t>WARNING_WINDOWS3.5</t>
  </si>
  <si>
    <t>Окно по невыполнении условий текущего режима</t>
  </si>
  <si>
    <t>Окно Оператору сменить режим на "Головная 1"(по Станц. Защ.)</t>
  </si>
  <si>
    <t>Выбрать режим работы</t>
  </si>
  <si>
    <t>ПНС-2. Входной коллектор не открыт RED</t>
  </si>
  <si>
    <t>ПНС-2. Выходной коллектор на прием МНС-3 не открыт RED</t>
  </si>
  <si>
    <t>ПНС-2. Выходной коллектор на прием МНС-2 не открыт RED</t>
  </si>
  <si>
    <t>ПНС-4. Входной коллектор не открыт RED</t>
  </si>
  <si>
    <t>ПНС-4. Выходной коллектор на прием МНС-3 не открыт  RED</t>
  </si>
  <si>
    <t>ПНС-3. Входной коллектор не открыт RED</t>
  </si>
  <si>
    <t>ПНС-3. Выходной коллектор на прием МНС-3 (МНС-2) не открыт RED</t>
  </si>
  <si>
    <t>ПНС-3. Выходной коллектор на прием МНС-4 не открыт RED</t>
  </si>
  <si>
    <r>
      <t>Состояние МНС</t>
    </r>
    <r>
      <rPr>
        <b/>
        <sz val="11"/>
        <color theme="1"/>
        <rFont val="Calibri"/>
        <family val="2"/>
        <charset val="204"/>
        <scheme val="minor"/>
      </rPr>
      <t>-3</t>
    </r>
  </si>
  <si>
    <t>МНС-3 в работе</t>
  </si>
  <si>
    <t>МНС-3 остановлена</t>
  </si>
  <si>
    <t xml:space="preserve">МНС-3. Входной коллектор открыт </t>
  </si>
  <si>
    <t xml:space="preserve">МНС-3. Входной коллектор не открыт </t>
  </si>
  <si>
    <t>МНС-3. Входной коллектор не открыт RED</t>
  </si>
  <si>
    <t xml:space="preserve">МНС-3. Выходной коллектор открыт </t>
  </si>
  <si>
    <t xml:space="preserve">МНС-3. Выходной коллектор не открыт </t>
  </si>
  <si>
    <t>МНС-3. Выходной коллектор не открыт  RED</t>
  </si>
  <si>
    <t>МНС-4. Авария</t>
  </si>
  <si>
    <t>МНС-3. Авария</t>
  </si>
  <si>
    <r>
      <t>Состояние МНС</t>
    </r>
    <r>
      <rPr>
        <b/>
        <sz val="11"/>
        <color theme="1"/>
        <rFont val="Calibri"/>
        <family val="2"/>
        <charset val="204"/>
        <scheme val="minor"/>
      </rPr>
      <t>-4</t>
    </r>
  </si>
  <si>
    <t>МНС-4 в работе</t>
  </si>
  <si>
    <t>МНС-4 остановлена</t>
  </si>
  <si>
    <t xml:space="preserve">МНС-4. Входной коллектор открыт </t>
  </si>
  <si>
    <t xml:space="preserve">МНС-4. Выходной коллектор открыт </t>
  </si>
  <si>
    <t xml:space="preserve">МНС-4. Входной коллектор не открыт </t>
  </si>
  <si>
    <t>МНС-4. Входной коллектор не открыт RED</t>
  </si>
  <si>
    <t xml:space="preserve">МНС-4. Выходной коллектор не открыт </t>
  </si>
  <si>
    <t>МНС-4. Выходной коллектор не открыт  RED</t>
  </si>
  <si>
    <t>MODE_PNS2</t>
  </si>
  <si>
    <t>Режимы ПНС-2</t>
  </si>
  <si>
    <t>Режимы ПНС-3</t>
  </si>
  <si>
    <t>Режим работы ПНС-3: ПНС-3 В РАБОТЕ С МНС-2</t>
  </si>
  <si>
    <t>Режим работы ПНС-3: ПНС-3 В РАБОТЕ С МНС-4</t>
  </si>
  <si>
    <t>Режим работы ПНС-3: ПНС-3 + ПНС-2 В РАБОТЕ С МНС-2</t>
  </si>
  <si>
    <t>MODE_PNS4</t>
  </si>
  <si>
    <t>Режимы ПНС-4</t>
  </si>
  <si>
    <t>Режим работы ПНС-4: ПНС-4 В РАБОТЕ С МНС-3</t>
  </si>
  <si>
    <t>Режим работы ПНС-4: ПНС-4 В РАБОТЕ С МНС-2</t>
  </si>
  <si>
    <t>Режим работы ПНС-4: ПНС-4 + ПНС-3 В РАБОТЕ С МНС-3</t>
  </si>
  <si>
    <t>Режим работы ПНС-4: ПНС-4 + ПНС-2 В РАБОТЕ С МНС-2</t>
  </si>
  <si>
    <t>STATION_PNS3.COLL_OPEN_OUT_MNS3</t>
  </si>
  <si>
    <t>STATION_PNS3.COLL_OPEN_OUT_MNS4</t>
  </si>
  <si>
    <t>STATION_PNS3.COLL_CLOSED_IN_RED</t>
  </si>
  <si>
    <t>STATION_PNS3.COLL_CLOSED_OUT_MNS3</t>
  </si>
  <si>
    <t>STATION_PNS3.COLL_CLOSED_OUT_MNS3_RED</t>
  </si>
  <si>
    <t>STATION_PNS3.COLL_CLOSED_OUT_MNS4</t>
  </si>
  <si>
    <t>STATION_PNS3.COLL_CLOSED_OUT_MNS4_RED</t>
  </si>
  <si>
    <t>STATION_PNS3.ALM_MODE</t>
  </si>
  <si>
    <t>STATION_PNS2.COLL_OPEN_OUT_MNS3</t>
  </si>
  <si>
    <t>STATION_PNS2.COLL_CLOSED_IN_RED</t>
  </si>
  <si>
    <t>STATION_PNS2.COLL_CLOSED_OUT_MNS3</t>
  </si>
  <si>
    <t>STATION_PNS2.COLL_CLOSED_OUT_MNS3_RED</t>
  </si>
  <si>
    <t>STATION_PNS2.ALM_MODE</t>
  </si>
  <si>
    <t>STATION_PNS2.COLL_OPEN_OUT_MNS2</t>
  </si>
  <si>
    <t>STATION_PNS2.COLL_CLOSED_OUT_MNS2</t>
  </si>
  <si>
    <t>STATION_PNS2.COLL_CLOSED_OUT_MNS2_RED</t>
  </si>
  <si>
    <t>STATION_PNS4.COLL_OPEN_OUT_MNS3</t>
  </si>
  <si>
    <t>STATION_PNS4.COLL_CLOSED_IN_RED</t>
  </si>
  <si>
    <t>STATION_PNS4.COLL_CLOSED_OUT_MNS3</t>
  </si>
  <si>
    <t>STATION_PNS4.COLL_CLOSED_OUT_MNS3_RED</t>
  </si>
  <si>
    <t>STATION_PNS4.ALM_MODE</t>
  </si>
  <si>
    <t>STATION_MNS3</t>
  </si>
  <si>
    <t>STATION_MNS3.WORKING</t>
  </si>
  <si>
    <t>STATION_MNS3.STOPPED</t>
  </si>
  <si>
    <t>STATION_MNS3.COLL_OPEN_IN</t>
  </si>
  <si>
    <t>STATION_MNS3.COLL_CLOSED_IN</t>
  </si>
  <si>
    <t>STATION_MNS3.COLL_CLOSED_IN_RED</t>
  </si>
  <si>
    <t>STATION_MNS3.AVAR</t>
  </si>
  <si>
    <t>STATION_MNS3.COLL_OPEN_OUT</t>
  </si>
  <si>
    <t>STATION_MNS3.COLL_CLOSED_OUT</t>
  </si>
  <si>
    <t>STATION_MNS3.COLL_CLOSED_OUT_RED</t>
  </si>
  <si>
    <t>STATION_MNS4</t>
  </si>
  <si>
    <t>STATION_MNS4.WORKING</t>
  </si>
  <si>
    <t>STATION_MNS4.STOPPED</t>
  </si>
  <si>
    <t>STATION_MNS4.COLL_OPEN_IN</t>
  </si>
  <si>
    <t>STATION_MNS4.COLL_OPEN_OUT</t>
  </si>
  <si>
    <t>STATION_MNS4.COLL_CLOSED_IN</t>
  </si>
  <si>
    <t>STATION_MNS4.COLL_CLOSED_IN_RED</t>
  </si>
  <si>
    <t>STATION_MNS4.COLL_CLOSED_OUT</t>
  </si>
  <si>
    <t>STATION_MNS4.COLL_CLOSED_OUT_RED</t>
  </si>
  <si>
    <t>STATION_MNS4.AVAR</t>
  </si>
  <si>
    <t>MODE_PNS2.0</t>
  </si>
  <si>
    <t>MODE_PNS2.2</t>
  </si>
  <si>
    <t>MODE_PNS2.3</t>
  </si>
  <si>
    <t>MODE_PNS2.4</t>
  </si>
  <si>
    <t>MODE_PNS2.5</t>
  </si>
  <si>
    <t>MODE_PNS2.1</t>
  </si>
  <si>
    <t>MODE_PNS4.0</t>
  </si>
  <si>
    <t>MODE_PNS4.2</t>
  </si>
  <si>
    <t>MODE_PNS4.3</t>
  </si>
  <si>
    <t>MODE_PNS4.4</t>
  </si>
  <si>
    <t>MODE_PNS4.5</t>
  </si>
  <si>
    <t>MODE_PNS4.6</t>
  </si>
  <si>
    <t>MODE_PNS4.7</t>
  </si>
  <si>
    <t>MODE_PNS4.1</t>
  </si>
  <si>
    <t>MODE_MNS3_PERM</t>
  </si>
  <si>
    <t>MODE_MNS3_PERM.0</t>
  </si>
  <si>
    <t>MODE_MNS3_PERM.1</t>
  </si>
  <si>
    <t>MODE_MNS3_PERM.2</t>
  </si>
  <si>
    <t>MODE_MNS3_PERM.3</t>
  </si>
  <si>
    <t>MODE_MNS3_PERM.4</t>
  </si>
  <si>
    <t>MODE_MNS3_PERM.5</t>
  </si>
  <si>
    <t>MODE_MNS3_PERM.6</t>
  </si>
  <si>
    <t>MODE_MNS3_PERM.7</t>
  </si>
  <si>
    <t>MODE_MNS3_PERM.8</t>
  </si>
  <si>
    <t>MODE_MNS3_PERM.9</t>
  </si>
  <si>
    <t>MODE_MNS3_PERM.10</t>
  </si>
  <si>
    <t>MODE_MNS3_PERM.11</t>
  </si>
  <si>
    <t>MODE_MNS3_PERM.12</t>
  </si>
  <si>
    <t>MODE_MNS3_PERM.13</t>
  </si>
  <si>
    <t>MODE_MNS3_PERM.14</t>
  </si>
  <si>
    <t>MODE_MNS3_PERM.15</t>
  </si>
  <si>
    <t>Нарушены условия для выбранного режима</t>
  </si>
  <si>
    <t>SELECT_MODE_MNS3</t>
  </si>
  <si>
    <t>SELECT_MODE_MNS3.1</t>
  </si>
  <si>
    <t>SELECT_MODE_MNS3.2</t>
  </si>
  <si>
    <t>SELECT_MODE_MNS3.3</t>
  </si>
  <si>
    <t>SELECT_MODE_MNS3.4</t>
  </si>
  <si>
    <t>SELECT_MODE_MNS3.5</t>
  </si>
  <si>
    <t>StationType.1</t>
  </si>
  <si>
    <t>StationType.2</t>
  </si>
  <si>
    <t>StationType.3</t>
  </si>
  <si>
    <t>StationType.4</t>
  </si>
  <si>
    <t>StationType.5</t>
  </si>
  <si>
    <t>StationType</t>
  </si>
  <si>
    <t>StationType.0</t>
  </si>
  <si>
    <t>MODE_PNS3.0</t>
  </si>
  <si>
    <t>MODE_PNS3.1</t>
  </si>
  <si>
    <t>MODE_PNS3.2</t>
  </si>
  <si>
    <t>MODE_PNS3.3</t>
  </si>
  <si>
    <t>MODE_PNS3.4</t>
  </si>
  <si>
    <t>MODE_PNS3.5</t>
  </si>
  <si>
    <t>MODE_PNS3.6</t>
  </si>
  <si>
    <t>MODE_PNS3.7</t>
  </si>
  <si>
    <t>.NA.Ust.BeforeRes</t>
  </si>
  <si>
    <t>.NA.Ust.BeforeReP</t>
  </si>
  <si>
    <t>.NA.Narab.Kvartal</t>
  </si>
  <si>
    <t>!!!! Название !!!!. Время работы НА за текущий квартал</t>
  </si>
  <si>
    <t>.NA.Narab.BeforeTR</t>
  </si>
  <si>
    <t>!!!! Название !!!!. Фактическое время работы НА до планового текущего ремонта</t>
  </si>
  <si>
    <t>.NA.Narab.CountPuskTR</t>
  </si>
  <si>
    <t>!!!! Название !!!!. Текущее количество пусков НА до планового текущего ремонта</t>
  </si>
  <si>
    <t>!!!! Название !!!!. Максимальное время до перехода на резерв</t>
  </si>
  <si>
    <t>!!!! Название !!!!. Максимальное время до капитального ремонта</t>
  </si>
  <si>
    <t>.NA.Ust.BeforeTOPred</t>
  </si>
  <si>
    <t>!!!! Название !!!!. Предельное время до ТО</t>
  </si>
  <si>
    <t>.NA.Ust.BeforeTOMax</t>
  </si>
  <si>
    <t>!!!! Название !!!!. Максимальное время до ТО</t>
  </si>
  <si>
    <t>.NA.Ust.BeforeSR</t>
  </si>
  <si>
    <t>!!!! Название !!!!. Максимальное время до среднего ремонта</t>
  </si>
  <si>
    <t>.NA.Ust.Kvartal</t>
  </si>
  <si>
    <t>!!!! Название !!!!. Время работы НА за предыдущий квартал</t>
  </si>
  <si>
    <t>.NA.Ust.BeforeTR</t>
  </si>
  <si>
    <t>!!!! Название !!!!. Максимальное время работы НА до планового текущего ремонта</t>
  </si>
  <si>
    <t>.NA.Ust.CountPuskTR</t>
  </si>
  <si>
    <t>!!!! Название !!!!. Максимальное количества пусков НА до планового текущего ремонта</t>
  </si>
  <si>
    <t>WARNING_WINDOWS3</t>
  </si>
  <si>
    <t>MODE_PNS2.6</t>
  </si>
  <si>
    <t>MODE_PNS2.7</t>
  </si>
  <si>
    <t xml:space="preserve">Режим работы ПНС-2: ПНС- 2 В РАБОТЕ С МНС-3 </t>
  </si>
  <si>
    <t xml:space="preserve">Режим работы ПНС-2: ПНС- 2 В РАБОТЕ С МНС-4 </t>
  </si>
  <si>
    <t xml:space="preserve">Режим работы ПНС-2: ПНС-2+ ПНС-3 В РАБОТЕ С МНС-2 </t>
  </si>
  <si>
    <t>Режим работы ПНС-2: ПНС-2+ ПНС-4 В РАБОТЕ С МНС-2</t>
  </si>
  <si>
    <t>Режим работы ПНС-2: ПНС-2+ ПНС-4 В РАБОТЕ С МНС-4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</si>
</sst>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4" borderId="3" xfId="0" applyFont="1" applyFill="1" applyBorder="1"/>
    <xf numFmtId="0" fontId="0" fillId="4" borderId="4" xfId="0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0" fillId="5" borderId="0" xfId="0" applyFill="1" applyBorder="1"/>
    <xf numFmtId="0" fontId="0" fillId="5" borderId="7" xfId="0" applyFill="1" applyBorder="1" applyAlignment="1">
      <alignment horizontal="center"/>
    </xf>
    <xf numFmtId="0" fontId="1" fillId="6" borderId="3" xfId="0" applyFont="1" applyFill="1" applyBorder="1"/>
    <xf numFmtId="0" fontId="0" fillId="4" borderId="8" xfId="0" applyFill="1" applyBorder="1"/>
    <xf numFmtId="0" fontId="0" fillId="0" borderId="0" xfId="0" quotePrefix="1"/>
    <xf numFmtId="0" fontId="0" fillId="4" borderId="9" xfId="0" applyFill="1" applyBorder="1"/>
    <xf numFmtId="0" fontId="0" fillId="4" borderId="7" xfId="0" applyFill="1" applyBorder="1" applyAlignment="1">
      <alignment horizontal="center" vertical="center"/>
    </xf>
    <xf numFmtId="0" fontId="0" fillId="0" borderId="0" xfId="0" applyFont="1" applyFill="1"/>
    <xf numFmtId="0" fontId="1" fillId="7" borderId="6" xfId="0" applyFont="1" applyFill="1" applyBorder="1"/>
    <xf numFmtId="0" fontId="0" fillId="7" borderId="0" xfId="0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/>
    </xf>
    <xf numFmtId="0" fontId="0" fillId="7" borderId="10" xfId="0" applyFill="1" applyBorder="1"/>
    <xf numFmtId="0" fontId="0" fillId="7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6" borderId="8" xfId="0" applyFill="1" applyBorder="1"/>
    <xf numFmtId="0" fontId="0" fillId="6" borderId="7" xfId="0" applyFill="1" applyBorder="1" applyAlignment="1">
      <alignment horizontal="center" vertical="center"/>
    </xf>
    <xf numFmtId="0" fontId="0" fillId="6" borderId="9" xfId="0" applyFill="1" applyBorder="1"/>
    <xf numFmtId="0" fontId="0" fillId="7" borderId="9" xfId="0" applyFill="1" applyBorder="1"/>
    <xf numFmtId="0" fontId="0" fillId="7" borderId="7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6" borderId="10" xfId="0" applyFill="1" applyBorder="1"/>
    <xf numFmtId="0" fontId="0" fillId="6" borderId="13" xfId="0" applyFill="1" applyBorder="1" applyAlignment="1">
      <alignment horizontal="center" vertical="center"/>
    </xf>
    <xf numFmtId="0" fontId="1" fillId="8" borderId="3" xfId="0" applyFont="1" applyFill="1" applyBorder="1"/>
    <xf numFmtId="0" fontId="0" fillId="8" borderId="4" xfId="0" applyFill="1" applyBorder="1"/>
    <xf numFmtId="0" fontId="0" fillId="8" borderId="5" xfId="0" applyFill="1" applyBorder="1" applyAlignment="1">
      <alignment horizontal="center"/>
    </xf>
    <xf numFmtId="0" fontId="0" fillId="8" borderId="0" xfId="0" applyFill="1" applyBorder="1"/>
    <xf numFmtId="0" fontId="0" fillId="8" borderId="7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1" fillId="9" borderId="3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1" fillId="0" borderId="6" xfId="0" applyFont="1" applyBorder="1"/>
    <xf numFmtId="0" fontId="1" fillId="0" borderId="0" xfId="0" applyFont="1" applyBorder="1" applyAlignment="1">
      <alignment horizontal="center" vertical="center"/>
    </xf>
    <xf numFmtId="0" fontId="0" fillId="0" borderId="14" xfId="0" applyBorder="1"/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3" xfId="0" applyFont="1" applyBorder="1"/>
    <xf numFmtId="0" fontId="1" fillId="0" borderId="11" xfId="0" applyFont="1" applyBorder="1"/>
    <xf numFmtId="0" fontId="0" fillId="0" borderId="12" xfId="0" applyBorder="1" applyAlignment="1">
      <alignment horizontal="center" vertical="center"/>
    </xf>
    <xf numFmtId="0" fontId="1" fillId="0" borderId="6" xfId="0" applyFont="1" applyFill="1" applyBorder="1"/>
    <xf numFmtId="0" fontId="0" fillId="0" borderId="8" xfId="0" applyBorder="1"/>
    <xf numFmtId="0" fontId="0" fillId="0" borderId="7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1" fillId="0" borderId="15" xfId="0" applyFont="1" applyBorder="1"/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13" xfId="0" applyBorder="1"/>
    <xf numFmtId="0" fontId="0" fillId="0" borderId="2" xfId="0" applyBorder="1"/>
    <xf numFmtId="0" fontId="4" fillId="0" borderId="6" xfId="0" applyFont="1" applyBorder="1"/>
    <xf numFmtId="0" fontId="5" fillId="10" borderId="3" xfId="0" applyFont="1" applyFill="1" applyBorder="1"/>
    <xf numFmtId="0" fontId="4" fillId="10" borderId="4" xfId="0" applyFont="1" applyFill="1" applyBorder="1" applyAlignment="1">
      <alignment horizontal="center" vertical="center"/>
    </xf>
    <xf numFmtId="0" fontId="4" fillId="10" borderId="4" xfId="0" applyFont="1" applyFill="1" applyBorder="1"/>
    <xf numFmtId="0" fontId="4" fillId="10" borderId="5" xfId="0" applyFont="1" applyFill="1" applyBorder="1" applyAlignment="1">
      <alignment horizontal="center" vertical="center"/>
    </xf>
    <xf numFmtId="0" fontId="4" fillId="10" borderId="6" xfId="0" applyFont="1" applyFill="1" applyBorder="1"/>
    <xf numFmtId="0" fontId="4" fillId="10" borderId="0" xfId="0" applyFont="1" applyFill="1" applyBorder="1"/>
    <xf numFmtId="0" fontId="4" fillId="10" borderId="7" xfId="0" applyFont="1" applyFill="1" applyBorder="1" applyAlignment="1">
      <alignment horizontal="center" vertical="center"/>
    </xf>
    <xf numFmtId="0" fontId="5" fillId="10" borderId="11" xfId="0" applyFont="1" applyFill="1" applyBorder="1"/>
    <xf numFmtId="0" fontId="4" fillId="10" borderId="12" xfId="0" applyFont="1" applyFill="1" applyBorder="1" applyAlignment="1">
      <alignment horizontal="center" vertical="center"/>
    </xf>
    <xf numFmtId="0" fontId="4" fillId="10" borderId="12" xfId="0" applyFont="1" applyFill="1" applyBorder="1"/>
    <xf numFmtId="0" fontId="4" fillId="10" borderId="13" xfId="0" applyFont="1" applyFill="1" applyBorder="1" applyAlignment="1">
      <alignment horizontal="center" vertical="center"/>
    </xf>
    <xf numFmtId="0" fontId="1" fillId="11" borderId="3" xfId="0" applyFont="1" applyFill="1" applyBorder="1"/>
    <xf numFmtId="0" fontId="0" fillId="0" borderId="16" xfId="0" applyBorder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2" borderId="7" xfId="0" applyFill="1" applyBorder="1" applyAlignment="1">
      <alignment horizontal="center" vertical="center"/>
    </xf>
    <xf numFmtId="0" fontId="1" fillId="2" borderId="15" xfId="0" applyFont="1" applyFill="1" applyBorder="1"/>
    <xf numFmtId="0" fontId="0" fillId="2" borderId="16" xfId="0" applyFill="1" applyBorder="1" applyAlignment="1">
      <alignment horizontal="center" vertical="center"/>
    </xf>
    <xf numFmtId="0" fontId="0" fillId="2" borderId="2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0" xfId="0" quotePrefix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11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4" xfId="0" applyBorder="1" applyAlignment="1">
      <alignment vertical="center"/>
    </xf>
    <xf numFmtId="0" fontId="0" fillId="11" borderId="0" xfId="0" applyFill="1"/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12" borderId="4" xfId="0" applyFill="1" applyBorder="1" applyAlignment="1">
      <alignment horizontal="left" vertical="center" wrapText="1"/>
    </xf>
    <xf numFmtId="0" fontId="0" fillId="12" borderId="0" xfId="0" applyFill="1"/>
    <xf numFmtId="0" fontId="0" fillId="12" borderId="4" xfId="0" applyFill="1" applyBorder="1"/>
    <xf numFmtId="0" fontId="0" fillId="13" borderId="0" xfId="0" applyFill="1"/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stukhin/Documents/&#1053;&#1055;&#1057;_&#1059;&#1088;&#1076;&#1086;&#1084;&#1072;%20&#1074;4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stukhin/Documents/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45\lip\&#1053;&#1055;&#1057;_&#1059;&#1088;&#1076;&#1086;&#1084;&#1072;%20&#1074;36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69;&#1082;&#1090;&#1080;&#1074;_&#1058;&#1077;&#1083;&#1077;&#1082;&#1086;&#1084;\HW_05_09_2015\&#1053;&#1055;&#1057;_&#1059;&#1088;&#1076;&#1086;&#1084;&#1072;%20&#1074;42_&#1051;&#1080;&#1089;&#1090;&#1058;&#1072;&#1073;&#1083;&#1057;&#1080;&#1088;&#1077;&#1085;&#1057;&#1080;&#108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CTIVE_TELECOM\&#1043;&#1077;&#1085;&#1077;&#1088;&#1072;&#1090;&#1086;&#1088;\&#1043;&#1077;&#1085;&#1077;&#1088;&#1072;&#1090;&#1086;&#1088;%20&#1087;&#1077;&#1088;&#1077;&#1084;&#1077;&#1085;&#1085;&#1099;&#1093;\v0.19\&#1053;&#1055;&#1057;_&#1059;&#1088;&#1076;&#1086;&#1084;&#1072;%20&#1074;54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leon/&#1059;&#1088;&#1076;&#1086;&#1084;&#1072;/&#1053;&#1055;&#1057;_&#1059;&#1088;&#1076;&#1086;&#1084;&#1072;%20&#1074;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УСО"/>
      <sheetName val="Drop"/>
      <sheetName val="СвязьСис"/>
      <sheetName val="КцСис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18"/>
      <sheetData sheetId="19"/>
      <sheetData sheetId="20"/>
      <sheetData sheetId="21"/>
      <sheetData sheetId="22"/>
      <sheetData sheetId="23"/>
      <sheetData sheetId="24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MNA1.Zdv17</v>
          </cell>
        </row>
        <row r="4">
          <cell r="B4" t="str">
            <v>MNA1.Zdv18</v>
          </cell>
        </row>
        <row r="5">
          <cell r="B5" t="str">
            <v>MNA2</v>
          </cell>
        </row>
        <row r="6">
          <cell r="B6" t="str">
            <v>MNA2.Zdv19</v>
          </cell>
        </row>
        <row r="7">
          <cell r="B7" t="str">
            <v>MNA2.Zdv20</v>
          </cell>
        </row>
        <row r="8">
          <cell r="B8" t="str">
            <v>MNA3</v>
          </cell>
        </row>
        <row r="9">
          <cell r="B9" t="str">
            <v>MNA3.Zdv21</v>
          </cell>
        </row>
        <row r="10">
          <cell r="B10" t="str">
            <v>MNA3.Zdv22</v>
          </cell>
        </row>
        <row r="11">
          <cell r="B11" t="str">
            <v>MNA4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Msl</v>
          </cell>
        </row>
        <row r="17">
          <cell r="B17" t="str">
            <v>Msl.VS_N1</v>
          </cell>
        </row>
        <row r="18">
          <cell r="B18" t="str">
            <v>Msl.VS_N2</v>
          </cell>
        </row>
        <row r="19">
          <cell r="B19" t="str">
            <v>Msl.VS_AVO1</v>
          </cell>
        </row>
        <row r="20">
          <cell r="B20" t="str">
            <v>Msl.VS_AVO2</v>
          </cell>
        </row>
        <row r="21">
          <cell r="B21" t="str">
            <v>SOU</v>
          </cell>
        </row>
        <row r="22">
          <cell r="B22" t="str">
            <v>SOU.EP_5</v>
          </cell>
        </row>
        <row r="23">
          <cell r="B23" t="str">
            <v>SOU.EP_5.VS_N1</v>
          </cell>
        </row>
        <row r="24">
          <cell r="B24" t="str">
            <v>SOU.EP_5.VS_N2</v>
          </cell>
        </row>
        <row r="25">
          <cell r="B25" t="str">
            <v>SSVD</v>
          </cell>
        </row>
        <row r="26">
          <cell r="B26" t="str">
            <v>SSVD.VS_CNS_1</v>
          </cell>
        </row>
        <row r="27">
          <cell r="B27" t="str">
            <v>SSVD.VS_CNS_2</v>
          </cell>
        </row>
        <row r="28">
          <cell r="B28" t="str">
            <v>SSVD.Zdv15</v>
          </cell>
        </row>
        <row r="29">
          <cell r="B29" t="str">
            <v>SSVD.Zdv16</v>
          </cell>
        </row>
        <row r="30">
          <cell r="B30" t="str">
            <v>SSVD.Zdv59</v>
          </cell>
        </row>
        <row r="31">
          <cell r="B31" t="str">
            <v>SSVD.VytVent.VS_VU_3</v>
          </cell>
        </row>
        <row r="32">
          <cell r="B32" t="str">
            <v>SSVD.VytVent.VS_VU_3a</v>
          </cell>
        </row>
        <row r="33">
          <cell r="B33" t="str">
            <v>SSVD.PritVent.VS_PU_4</v>
          </cell>
        </row>
        <row r="34">
          <cell r="B34" t="str">
            <v>SSVD.PritVent.VS_PU_4a</v>
          </cell>
        </row>
        <row r="35">
          <cell r="B35" t="str">
            <v>SSVD.PritVent.Kalorifer_PU_K4</v>
          </cell>
        </row>
        <row r="36">
          <cell r="B36" t="str">
            <v>SSVD.PritVent.Kalorifer_PU_K4a</v>
          </cell>
        </row>
        <row r="37">
          <cell r="B37" t="str">
            <v>NasZal</v>
          </cell>
        </row>
        <row r="38">
          <cell r="B38" t="str">
            <v>NasZal.VytVent</v>
          </cell>
        </row>
        <row r="39">
          <cell r="B39" t="str">
            <v>NasZal.VytVent.VS_VU_1</v>
          </cell>
        </row>
        <row r="40">
          <cell r="B40" t="str">
            <v>NasZal.VytVent.VS_VU_1a</v>
          </cell>
        </row>
        <row r="41">
          <cell r="B41" t="str">
            <v>NasZal.PritVent</v>
          </cell>
        </row>
        <row r="42">
          <cell r="B42" t="str">
            <v>NasZal.PritVent.VS_PU_1</v>
          </cell>
        </row>
        <row r="43">
          <cell r="B43" t="str">
            <v>NasZal.PritVent.VS_PU_1a</v>
          </cell>
        </row>
        <row r="44">
          <cell r="B44" t="str">
            <v>NasZal.PritVent.Kalorifer_PU_K1_I</v>
          </cell>
        </row>
        <row r="45">
          <cell r="B45" t="str">
            <v>NasZal.PritVent.Kalorifer_PU_K1a_I</v>
          </cell>
        </row>
        <row r="46">
          <cell r="B46" t="str">
            <v>NasZal.PritVent.Kalorifer_PU_K1_II</v>
          </cell>
        </row>
        <row r="47">
          <cell r="B47" t="str">
            <v>NasZal.PritVent.Kalorifer_PU_K1a_II</v>
          </cell>
        </row>
        <row r="48">
          <cell r="B48" t="str">
            <v>ElZal</v>
          </cell>
        </row>
        <row r="49">
          <cell r="B49" t="str">
            <v>ElZal.PodporVent</v>
          </cell>
        </row>
        <row r="50">
          <cell r="B50" t="str">
            <v>ElZal.PodporVent.VS_PU_2</v>
          </cell>
        </row>
        <row r="51">
          <cell r="B51" t="str">
            <v>ElZal.PodporVent.VS_PU_2a</v>
          </cell>
        </row>
        <row r="52">
          <cell r="B52" t="str">
            <v>ElZal.PritVent.Kalorifer_PU_K2_I</v>
          </cell>
        </row>
        <row r="53">
          <cell r="B53" t="str">
            <v>ElZal.PritVent.Kalorifer_PU_K2a_I</v>
          </cell>
        </row>
        <row r="54">
          <cell r="B54" t="str">
            <v>ElZal.PritVent.Kalorifer_PU_K2_II</v>
          </cell>
        </row>
        <row r="55">
          <cell r="B55" t="str">
            <v>ElZal.PritVent.Kalorifer_PU_K2a_II</v>
          </cell>
        </row>
        <row r="56">
          <cell r="B56" t="str">
            <v>BesVent</v>
          </cell>
        </row>
        <row r="57">
          <cell r="B57" t="str">
            <v>BesVent.VS_TU_1</v>
          </cell>
        </row>
        <row r="58">
          <cell r="B58" t="str">
            <v>BesVent.VS_TU_1a</v>
          </cell>
        </row>
        <row r="59">
          <cell r="B59" t="str">
            <v>KRD</v>
          </cell>
        </row>
        <row r="60">
          <cell r="B60" t="str">
            <v>KRD.Zdv25</v>
          </cell>
        </row>
        <row r="61">
          <cell r="B61" t="str">
            <v>KRD.Zdv26</v>
          </cell>
        </row>
        <row r="62">
          <cell r="B62" t="str">
            <v>KRD.Zdv27</v>
          </cell>
        </row>
        <row r="63">
          <cell r="B63" t="str">
            <v>KRD.Zdv28</v>
          </cell>
        </row>
        <row r="64">
          <cell r="B64" t="str">
            <v>KRD.VytVent.VS_VU_2</v>
          </cell>
        </row>
        <row r="65">
          <cell r="B65" t="str">
            <v>KRD.VytVent.VS_VU_2a</v>
          </cell>
        </row>
        <row r="66">
          <cell r="B66" t="str">
            <v>KRD.PritVent.VS_PU_3</v>
          </cell>
        </row>
        <row r="67">
          <cell r="B67" t="str">
            <v>KRD.PritVent.VS_PU_3a</v>
          </cell>
        </row>
        <row r="68">
          <cell r="B68" t="str">
            <v>KRD.PritVent.Kalorifer_PU_K3_I</v>
          </cell>
        </row>
        <row r="69">
          <cell r="B69" t="str">
            <v>KRD.PritVent.Kalorifer_PU_K3_II</v>
          </cell>
        </row>
        <row r="70">
          <cell r="B70" t="str">
            <v>KRD.PritVent.Kalorifer_PU_K3a_I</v>
          </cell>
        </row>
        <row r="71">
          <cell r="B71" t="str">
            <v>KRD.PritVent.Kalorifer_PU_K3a_II</v>
          </cell>
        </row>
        <row r="72">
          <cell r="B72" t="str">
            <v>FGU</v>
          </cell>
        </row>
        <row r="73">
          <cell r="B73" t="str">
            <v>FGU.Zdv9</v>
          </cell>
        </row>
        <row r="74">
          <cell r="B74" t="str">
            <v>FGU.Zdv10</v>
          </cell>
        </row>
        <row r="75">
          <cell r="B75" t="str">
            <v>FGU.Zdv11</v>
          </cell>
        </row>
        <row r="76">
          <cell r="B76" t="str">
            <v>FGU.Zdv12</v>
          </cell>
        </row>
        <row r="77">
          <cell r="B77" t="str">
            <v>FGU.Zdv13</v>
          </cell>
        </row>
        <row r="78">
          <cell r="B78" t="str">
            <v>FGU.Zdv14</v>
          </cell>
        </row>
        <row r="79">
          <cell r="B79" t="str">
            <v>UPPSOD</v>
          </cell>
        </row>
        <row r="80">
          <cell r="B80" t="str">
            <v>UPPSOD.Zdv4</v>
          </cell>
        </row>
        <row r="81">
          <cell r="B81" t="str">
            <v>UPPSOD.Zdv5</v>
          </cell>
        </row>
        <row r="82">
          <cell r="B82" t="str">
            <v>UPPSOD.Zdv6</v>
          </cell>
        </row>
        <row r="83">
          <cell r="B83" t="str">
            <v>UPPSOD.Zdv8</v>
          </cell>
        </row>
        <row r="84">
          <cell r="B84" t="str">
            <v>UPPSOD.Zdv44M</v>
          </cell>
        </row>
        <row r="85">
          <cell r="B85" t="str">
            <v>UPPSOD.Zdv45M</v>
          </cell>
        </row>
        <row r="86">
          <cell r="B86" t="str">
            <v>UPPSOD.Zdv46M</v>
          </cell>
        </row>
        <row r="87">
          <cell r="B87" t="str">
            <v>UPPSOD.Zdv47M</v>
          </cell>
        </row>
        <row r="88">
          <cell r="B88" t="str">
            <v>UPPSOD.VS_NOU</v>
          </cell>
        </row>
        <row r="89">
          <cell r="B89" t="str">
            <v>UPPSOD.VS_NasosRez</v>
          </cell>
        </row>
        <row r="90">
          <cell r="B90" t="str">
            <v>UPPSOD.ShSU</v>
          </cell>
        </row>
        <row r="91">
          <cell r="B91" t="str">
            <v>UPPSOD.ShSU.TEN</v>
          </cell>
        </row>
        <row r="92">
          <cell r="B92" t="str">
            <v>UPPSOD.ShSU.TENrez</v>
          </cell>
        </row>
        <row r="93">
          <cell r="B93" t="str">
            <v>UPPSOD.DPS1</v>
          </cell>
        </row>
        <row r="94">
          <cell r="B94" t="str">
            <v>UPPSOD.DPS2</v>
          </cell>
        </row>
        <row r="95">
          <cell r="B95" t="str">
            <v>UPPSOD.DPS3</v>
          </cell>
        </row>
        <row r="96">
          <cell r="B96" t="str">
            <v>KNS</v>
          </cell>
        </row>
        <row r="97">
          <cell r="B97" t="str">
            <v>KNS.VS_Gnom</v>
          </cell>
        </row>
        <row r="98">
          <cell r="B98" t="str">
            <v>KNS.VS_Aerator</v>
          </cell>
        </row>
        <row r="99">
          <cell r="B99" t="str">
            <v>ZRU</v>
          </cell>
        </row>
        <row r="100">
          <cell r="B100" t="str">
            <v>ShSU</v>
          </cell>
        </row>
        <row r="101">
          <cell r="B101" t="str">
            <v>Dizel</v>
          </cell>
        </row>
        <row r="102">
          <cell r="B102" t="str">
            <v>Diag</v>
          </cell>
        </row>
        <row r="103">
          <cell r="B103" t="str">
            <v>Diag.KC</v>
          </cell>
        </row>
        <row r="104">
          <cell r="B104" t="str">
            <v>Diag.USO_1_1</v>
          </cell>
        </row>
        <row r="105">
          <cell r="B105" t="str">
            <v>Diag.USO_1_2</v>
          </cell>
        </row>
        <row r="106">
          <cell r="B106" t="str">
            <v>Diag.USO_1_3</v>
          </cell>
        </row>
        <row r="107">
          <cell r="B107" t="str">
            <v>Diag.USO_2_1</v>
          </cell>
        </row>
        <row r="108">
          <cell r="B108" t="str">
            <v>Diag.USO_2_2</v>
          </cell>
        </row>
        <row r="109">
          <cell r="B109" t="str">
            <v>Diag.USO_3</v>
          </cell>
        </row>
        <row r="110">
          <cell r="B110" t="str">
            <v>Diag.USO_4</v>
          </cell>
        </row>
        <row r="111">
          <cell r="B111" t="str">
            <v>Diag.Server</v>
          </cell>
        </row>
        <row r="112">
          <cell r="B112" t="str">
            <v>Diag.SARD</v>
          </cell>
        </row>
        <row r="113">
          <cell r="B113" t="str">
            <v>BRU.Zvonok</v>
          </cell>
        </row>
        <row r="114">
          <cell r="B114" t="str">
            <v>NasZal.Tablo</v>
          </cell>
        </row>
        <row r="115">
          <cell r="B115" t="str">
            <v>Msl.Tablo</v>
          </cell>
        </row>
        <row r="116">
          <cell r="B116" t="str">
            <v>KRD.Tablo</v>
          </cell>
        </row>
        <row r="117">
          <cell r="B117" t="str">
            <v>SSVD.Tablo</v>
          </cell>
        </row>
        <row r="118">
          <cell r="B118" t="str">
            <v>Dizel.Tablo</v>
          </cell>
        </row>
        <row r="119">
          <cell r="B119" t="str">
            <v>UPPSOD.Tablo</v>
          </cell>
        </row>
        <row r="120">
          <cell r="B120" t="str">
            <v>UPPSOD.Tablo</v>
          </cell>
        </row>
        <row r="121">
          <cell r="B121" t="str">
            <v>NasZal.Sirena</v>
          </cell>
        </row>
        <row r="122">
          <cell r="B122" t="str">
            <v>Msl.Sirena</v>
          </cell>
        </row>
        <row r="123">
          <cell r="B123" t="str">
            <v>KRD.Sirena</v>
          </cell>
        </row>
        <row r="124">
          <cell r="B124" t="str">
            <v>SSVD.Sirena</v>
          </cell>
        </row>
        <row r="125">
          <cell r="B125" t="str">
            <v>UPPSOD.Sirena</v>
          </cell>
        </row>
        <row r="126">
          <cell r="B126" t="str">
            <v>UPPSOD.ZdvRez</v>
          </cell>
        </row>
        <row r="127">
          <cell r="B127" t="str">
            <v>rez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ПСсис"/>
      <sheetName val="Иерархия"/>
      <sheetName val="Pic"/>
      <sheetName val="CommonTagsHMI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ТаблСиренСис"/>
      <sheetName val="УСО"/>
      <sheetName val="СвязьСис"/>
      <sheetName val="КцСис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Логич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ВСПОМ_ГР"/>
      <sheetName val="САРД"/>
      <sheetName val="ДПС"/>
      <sheetName val="ТаблСирен"/>
      <sheetName val="РучКардСис"/>
      <sheetName val="ТС"/>
      <sheetName val="ТИ"/>
      <sheetName val="Интерфейс"/>
      <sheetName val="КМД"/>
      <sheetName val="twList4"/>
      <sheetName val="Системный"/>
    </sheetNames>
    <sheetDataSet>
      <sheetData sheetId="0"/>
      <sheetData sheetId="1">
        <row r="2">
          <cell r="B2" t="str">
            <v>NPS</v>
          </cell>
        </row>
        <row r="3">
          <cell r="B3" t="str">
            <v>MNA1</v>
          </cell>
        </row>
        <row r="4">
          <cell r="B4" t="str">
            <v>MNA1.Zdv17</v>
          </cell>
        </row>
        <row r="5">
          <cell r="B5" t="str">
            <v>MNA1.Zdv18</v>
          </cell>
        </row>
        <row r="6">
          <cell r="B6" t="str">
            <v>MNA2</v>
          </cell>
        </row>
        <row r="7">
          <cell r="B7" t="str">
            <v>MNA2.Zdv19</v>
          </cell>
        </row>
        <row r="8">
          <cell r="B8" t="str">
            <v>MNA2.Zdv20</v>
          </cell>
        </row>
        <row r="9">
          <cell r="B9" t="str">
            <v>MNA3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</v>
          </cell>
        </row>
        <row r="13">
          <cell r="B13" t="str">
            <v>MNA4.Zdv23</v>
          </cell>
        </row>
        <row r="14">
          <cell r="B14" t="str">
            <v>MNA4.Zdv24</v>
          </cell>
        </row>
        <row r="15">
          <cell r="B15" t="str">
            <v>Zdv1</v>
          </cell>
        </row>
        <row r="16">
          <cell r="B16" t="str">
            <v>Zdv2</v>
          </cell>
        </row>
        <row r="17">
          <cell r="B17" t="str">
            <v>Msl</v>
          </cell>
        </row>
        <row r="18">
          <cell r="B18" t="str">
            <v>Msl.VS_N1</v>
          </cell>
        </row>
        <row r="19">
          <cell r="B19" t="str">
            <v>Msl.VS_N2</v>
          </cell>
        </row>
        <row r="20">
          <cell r="B20" t="str">
            <v>Msl.VS_AVO1</v>
          </cell>
        </row>
        <row r="21">
          <cell r="B21" t="str">
            <v>Msl.VS_AVO2</v>
          </cell>
        </row>
        <row r="22">
          <cell r="B22" t="str">
            <v>SOU</v>
          </cell>
        </row>
        <row r="23">
          <cell r="B23" t="str">
            <v>SOU.EP_5</v>
          </cell>
        </row>
        <row r="24">
          <cell r="B24" t="str">
            <v>SOU.EP_5.VS_N1</v>
          </cell>
        </row>
        <row r="25">
          <cell r="B25" t="str">
            <v>SOU.EP_5.VS_N2</v>
          </cell>
        </row>
        <row r="26">
          <cell r="B26" t="str">
            <v>SSVD</v>
          </cell>
        </row>
        <row r="27">
          <cell r="B27" t="str">
            <v>SSVD.VS_CNS_1</v>
          </cell>
        </row>
        <row r="28">
          <cell r="B28" t="str">
            <v>SSVD.VS_CNS_2</v>
          </cell>
        </row>
        <row r="29">
          <cell r="B29" t="str">
            <v>SSVD.Zdv15</v>
          </cell>
        </row>
        <row r="30">
          <cell r="B30" t="str">
            <v>SSVD.Zdv16</v>
          </cell>
        </row>
        <row r="31">
          <cell r="B31" t="str">
            <v>SSVD.Zdv59</v>
          </cell>
        </row>
        <row r="32">
          <cell r="B32" t="str">
            <v>SSVD.VytVent.VS_VU_3</v>
          </cell>
        </row>
        <row r="33">
          <cell r="B33" t="str">
            <v>SSVD.VytVent.VS_VU_3a</v>
          </cell>
        </row>
        <row r="34">
          <cell r="B34" t="str">
            <v>SSVD.PritVent.VS_PU_4</v>
          </cell>
        </row>
        <row r="35">
          <cell r="B35" t="str">
            <v>SSVD.PritVent.VS_PU_4a</v>
          </cell>
        </row>
        <row r="36">
          <cell r="B36" t="str">
            <v>SSVD.PritVent.Kalorifer_PU_K4</v>
          </cell>
        </row>
        <row r="37">
          <cell r="B37" t="str">
            <v>SSVD.PritVent.Kalorifer_PU_K4a</v>
          </cell>
        </row>
        <row r="38">
          <cell r="B38" t="str">
            <v>NasZal</v>
          </cell>
        </row>
        <row r="39">
          <cell r="B39" t="str">
            <v>NasZal.VytVent</v>
          </cell>
        </row>
        <row r="40">
          <cell r="B40" t="str">
            <v>NasZal.VytVent.VS_VU_1</v>
          </cell>
        </row>
        <row r="41">
          <cell r="B41" t="str">
            <v>NasZal.VytVent.VS_VU_1a</v>
          </cell>
        </row>
        <row r="42">
          <cell r="B42" t="str">
            <v>NasZal.PritVent</v>
          </cell>
        </row>
        <row r="43">
          <cell r="B43" t="str">
            <v>NasZal.PritVent.VS_PU_1</v>
          </cell>
        </row>
        <row r="44">
          <cell r="B44" t="str">
            <v>NasZal.PritVent.VS_PU_1a</v>
          </cell>
        </row>
        <row r="45">
          <cell r="B45" t="str">
            <v>NasZal.PritVent.Kalorifer_PU_K1_I</v>
          </cell>
        </row>
        <row r="46">
          <cell r="B46" t="str">
            <v>NasZal.PritVent.Kalorifer_PU_K1a_I</v>
          </cell>
        </row>
        <row r="47">
          <cell r="B47" t="str">
            <v>NasZal.PritVent.Kalorifer_PU_K1_II</v>
          </cell>
        </row>
        <row r="48">
          <cell r="B48" t="str">
            <v>NasZal.PritVent.Kalorifer_PU_K1a_II</v>
          </cell>
        </row>
        <row r="49">
          <cell r="B49" t="str">
            <v>ElZal</v>
          </cell>
        </row>
        <row r="50">
          <cell r="B50" t="str">
            <v>ElZal.PodporVent</v>
          </cell>
        </row>
        <row r="51">
          <cell r="B51" t="str">
            <v>ElZal.PodporVent.VS_PU_2</v>
          </cell>
        </row>
        <row r="52">
          <cell r="B52" t="str">
            <v>ElZal.PodporVent.VS_PU_2a</v>
          </cell>
        </row>
        <row r="53">
          <cell r="B53" t="str">
            <v>ElZal.PritVent.Kalorifer_PU_K2_I</v>
          </cell>
        </row>
        <row r="54">
          <cell r="B54" t="str">
            <v>ElZal.PritVent.Kalorifer_PU_K2a_I</v>
          </cell>
        </row>
        <row r="55">
          <cell r="B55" t="str">
            <v>ElZal.PritVent.Kalorifer_PU_K2_II</v>
          </cell>
        </row>
        <row r="56">
          <cell r="B56" t="str">
            <v>ElZal.PritVent.Kalorifer_PU_K2a_II</v>
          </cell>
        </row>
        <row r="57">
          <cell r="B57" t="str">
            <v>BesVent</v>
          </cell>
        </row>
        <row r="58">
          <cell r="B58" t="str">
            <v>BesVent.VS_TU_1</v>
          </cell>
        </row>
        <row r="59">
          <cell r="B59" t="str">
            <v>BesVent.VS_TU_1a</v>
          </cell>
        </row>
        <row r="60">
          <cell r="B60" t="str">
            <v>KRD</v>
          </cell>
        </row>
        <row r="61">
          <cell r="B61" t="str">
            <v>KRD.Zdv25</v>
          </cell>
        </row>
        <row r="62">
          <cell r="B62" t="str">
            <v>KRD.Zdv26</v>
          </cell>
        </row>
        <row r="63">
          <cell r="B63" t="str">
            <v>KRD.Zdv27</v>
          </cell>
        </row>
        <row r="64">
          <cell r="B64" t="str">
            <v>KRD.Zdv28</v>
          </cell>
        </row>
        <row r="65">
          <cell r="B65" t="str">
            <v>KRD.VytVent.VS_VU_2</v>
          </cell>
        </row>
        <row r="66">
          <cell r="B66" t="str">
            <v>KRD.VytVent.VS_VU_2a</v>
          </cell>
        </row>
        <row r="67">
          <cell r="B67" t="str">
            <v>KRD.PritVent.VS_PU_3</v>
          </cell>
        </row>
        <row r="68">
          <cell r="B68" t="str">
            <v>KRD.PritVent.VS_PU_3a</v>
          </cell>
        </row>
        <row r="69">
          <cell r="B69" t="str">
            <v>KRD.PritVent.Kalorifer_PU_K3_I</v>
          </cell>
        </row>
        <row r="70">
          <cell r="B70" t="str">
            <v>KRD.PritVent.Kalorifer_PU_K3_II</v>
          </cell>
        </row>
        <row r="71">
          <cell r="B71" t="str">
            <v>KRD.PritVent.Kalorifer_PU_K3a_I</v>
          </cell>
        </row>
        <row r="72">
          <cell r="B72" t="str">
            <v>KRD.PritVent.Kalorifer_PU_K3a_II</v>
          </cell>
        </row>
        <row r="73">
          <cell r="B73" t="str">
            <v>FGU</v>
          </cell>
        </row>
        <row r="74">
          <cell r="B74" t="str">
            <v>FGU.Zdv9</v>
          </cell>
        </row>
        <row r="75">
          <cell r="B75" t="str">
            <v>FGU.Zdv10</v>
          </cell>
        </row>
        <row r="76">
          <cell r="B76" t="str">
            <v>FGU.Zdv11</v>
          </cell>
        </row>
        <row r="77">
          <cell r="B77" t="str">
            <v>FGU.Zdv12</v>
          </cell>
        </row>
        <row r="78">
          <cell r="B78" t="str">
            <v>FGU.Zdv13</v>
          </cell>
        </row>
        <row r="79">
          <cell r="B79" t="str">
            <v>FGU.Zdv14</v>
          </cell>
        </row>
        <row r="80">
          <cell r="B80" t="str">
            <v>UPPSOD</v>
          </cell>
        </row>
        <row r="81">
          <cell r="B81" t="str">
            <v>UPPSOD.Zdv4</v>
          </cell>
        </row>
        <row r="82">
          <cell r="B82" t="str">
            <v>UPPSOD.Zdv5</v>
          </cell>
        </row>
        <row r="83">
          <cell r="B83" t="str">
            <v>UPPSOD.Zdv6</v>
          </cell>
        </row>
        <row r="84">
          <cell r="B84" t="str">
            <v>UPPSOD.Zdv8</v>
          </cell>
        </row>
        <row r="85">
          <cell r="B85" t="str">
            <v>UPPSOD.Zdv44M</v>
          </cell>
        </row>
        <row r="86">
          <cell r="B86" t="str">
            <v>UPPSOD.Zdv45M</v>
          </cell>
        </row>
        <row r="87">
          <cell r="B87" t="str">
            <v>UPPSOD.Zdv46M</v>
          </cell>
        </row>
        <row r="88">
          <cell r="B88" t="str">
            <v>UPPSOD.Zdv47M</v>
          </cell>
        </row>
        <row r="89">
          <cell r="B89" t="str">
            <v>UPPSOD.VS_NOU</v>
          </cell>
        </row>
        <row r="90">
          <cell r="B90" t="str">
            <v>UPPSOD.VS_NasosRez</v>
          </cell>
        </row>
        <row r="91">
          <cell r="B91" t="str">
            <v>UPPSOD.ShSU</v>
          </cell>
        </row>
        <row r="92">
          <cell r="B92" t="str">
            <v>UPPSOD.ShSU.TEN</v>
          </cell>
        </row>
        <row r="93">
          <cell r="B93" t="str">
            <v>UPPSOD.ShSU.TENrez</v>
          </cell>
        </row>
        <row r="94">
          <cell r="B94" t="str">
            <v>UPPSOD.DPS1</v>
          </cell>
        </row>
        <row r="95">
          <cell r="B95" t="str">
            <v>UPPSOD.DPS2</v>
          </cell>
        </row>
        <row r="96">
          <cell r="B96" t="str">
            <v>UPPSOD.DPS3</v>
          </cell>
        </row>
        <row r="97">
          <cell r="B97" t="str">
            <v>KNS</v>
          </cell>
        </row>
        <row r="98">
          <cell r="B98" t="str">
            <v>KNS.VS_Gnom</v>
          </cell>
        </row>
        <row r="99">
          <cell r="B99" t="str">
            <v>KNS.VS_Aerator</v>
          </cell>
        </row>
        <row r="100">
          <cell r="B100" t="str">
            <v>ZRU</v>
          </cell>
        </row>
        <row r="101">
          <cell r="B101" t="str">
            <v>ShSU</v>
          </cell>
        </row>
        <row r="102">
          <cell r="B102" t="str">
            <v>Dizel</v>
          </cell>
        </row>
        <row r="103">
          <cell r="B103" t="str">
            <v>Diag</v>
          </cell>
        </row>
        <row r="104">
          <cell r="B104" t="str">
            <v>Diag.KC</v>
          </cell>
        </row>
        <row r="105">
          <cell r="B105" t="str">
            <v>Diag.USO_1_1</v>
          </cell>
        </row>
        <row r="106">
          <cell r="B106" t="str">
            <v>Diag.USO_1_2</v>
          </cell>
        </row>
        <row r="107">
          <cell r="B107" t="str">
            <v>Diag.USO_1_3</v>
          </cell>
        </row>
        <row r="108">
          <cell r="B108" t="str">
            <v>Diag.USO_2_1</v>
          </cell>
        </row>
        <row r="109">
          <cell r="B109" t="str">
            <v>Diag.USO_2_2</v>
          </cell>
        </row>
        <row r="110">
          <cell r="B110" t="str">
            <v>Diag.USO_3</v>
          </cell>
        </row>
        <row r="111">
          <cell r="B111" t="str">
            <v>Diag.USO_4</v>
          </cell>
        </row>
        <row r="112">
          <cell r="B112" t="str">
            <v>Diag.Server</v>
          </cell>
        </row>
        <row r="113">
          <cell r="B113" t="str">
            <v>Diag.SARD</v>
          </cell>
        </row>
        <row r="114">
          <cell r="B114" t="str">
            <v>BRU.Zvonok</v>
          </cell>
        </row>
        <row r="115">
          <cell r="B115" t="str">
            <v>NasZal.Tablo</v>
          </cell>
        </row>
        <row r="116">
          <cell r="B116" t="str">
            <v>Msl.Tablo</v>
          </cell>
        </row>
        <row r="117">
          <cell r="B117" t="str">
            <v>KRD.Tablo</v>
          </cell>
        </row>
        <row r="118">
          <cell r="B118" t="str">
            <v>SSVD.Tablo</v>
          </cell>
        </row>
        <row r="119">
          <cell r="B119" t="str">
            <v>Dizel.Tablo</v>
          </cell>
        </row>
        <row r="120">
          <cell r="B120" t="str">
            <v>UPPSOD.Tablo</v>
          </cell>
        </row>
        <row r="121">
          <cell r="B121" t="str">
            <v>UPPSOD.Tablo</v>
          </cell>
        </row>
        <row r="122">
          <cell r="B122" t="str">
            <v>NasZal.Sirena</v>
          </cell>
        </row>
        <row r="123">
          <cell r="B123" t="str">
            <v>Msl.Sirena</v>
          </cell>
        </row>
        <row r="124">
          <cell r="B124" t="str">
            <v>KRD.Sirena</v>
          </cell>
        </row>
        <row r="125">
          <cell r="B125" t="str">
            <v>SSVD.Sirena</v>
          </cell>
        </row>
        <row r="126">
          <cell r="B126" t="str">
            <v>UPPSOD.Sirena</v>
          </cell>
        </row>
        <row r="127">
          <cell r="B127" t="str">
            <v>UPPSOD.ZdvRez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  <cell r="F4" t="str">
            <v>0 - серый</v>
          </cell>
        </row>
        <row r="5">
          <cell r="B5" t="str">
            <v>1 - ИП</v>
          </cell>
          <cell r="D5" t="str">
            <v>Нет</v>
          </cell>
          <cell r="F5" t="str">
            <v>1 - зеленый</v>
          </cell>
        </row>
        <row r="6">
          <cell r="B6" t="str">
            <v>2 - ДВ</v>
          </cell>
          <cell r="F6" t="str">
            <v>2 - желтый</v>
          </cell>
        </row>
        <row r="7">
          <cell r="B7" t="str">
            <v>3 - АВ</v>
          </cell>
          <cell r="F7" t="str">
            <v>3 - красный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Модули"/>
      <sheetName val="Конфигурация"/>
      <sheetName val="ИП"/>
      <sheetName val="СисИП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ТС"/>
      <sheetName val="ТИ"/>
      <sheetName val="Системный"/>
    </sheetNames>
    <sheetDataSet>
      <sheetData sheetId="0">
        <row r="2">
          <cell r="B2" t="str">
            <v>MNA1</v>
          </cell>
        </row>
        <row r="3">
          <cell r="B3" t="str">
            <v>MNA2</v>
          </cell>
        </row>
        <row r="4">
          <cell r="B4" t="str">
            <v>MNA3</v>
          </cell>
        </row>
        <row r="5">
          <cell r="B5" t="str">
            <v>MNA4</v>
          </cell>
        </row>
        <row r="6">
          <cell r="B6" t="str">
            <v>MNA1.Zdv17</v>
          </cell>
        </row>
        <row r="7">
          <cell r="B7" t="str">
            <v>MNA1.Zdv18</v>
          </cell>
        </row>
        <row r="8">
          <cell r="B8" t="str">
            <v>MNA2.Zdv19</v>
          </cell>
        </row>
        <row r="9">
          <cell r="B9" t="str">
            <v>MNA2.Zdv20</v>
          </cell>
        </row>
        <row r="10">
          <cell r="B10" t="str">
            <v>MNA3.Zdv21</v>
          </cell>
        </row>
        <row r="11">
          <cell r="B11" t="str">
            <v>MNA3.Zdv22</v>
          </cell>
        </row>
        <row r="12">
          <cell r="B12" t="str">
            <v>MNA4.Zdv23</v>
          </cell>
        </row>
        <row r="13">
          <cell r="B13" t="str">
            <v>MNA4.Zdv24</v>
          </cell>
        </row>
        <row r="14">
          <cell r="B14" t="str">
            <v>Zdv1</v>
          </cell>
        </row>
        <row r="15">
          <cell r="B15" t="str">
            <v>Zdv2</v>
          </cell>
        </row>
        <row r="16">
          <cell r="B16" t="str">
            <v>FGU.Zdv9</v>
          </cell>
        </row>
        <row r="17">
          <cell r="B17" t="str">
            <v>FGU.Zdv10</v>
          </cell>
        </row>
        <row r="18">
          <cell r="B18" t="str">
            <v>FGU.Zdv11</v>
          </cell>
        </row>
        <row r="19">
          <cell r="B19" t="str">
            <v>FGU.Zdv12</v>
          </cell>
        </row>
        <row r="20">
          <cell r="B20" t="str">
            <v>FGU.Zdv13</v>
          </cell>
        </row>
        <row r="21">
          <cell r="B21" t="str">
            <v>FGU.Zdv14</v>
          </cell>
        </row>
        <row r="22">
          <cell r="B22" t="str">
            <v>SSVD.Zdv15</v>
          </cell>
        </row>
        <row r="23">
          <cell r="B23" t="str">
            <v>SSVD.Zdv16</v>
          </cell>
        </row>
        <row r="24">
          <cell r="B24" t="str">
            <v>KRD.Zdv25</v>
          </cell>
        </row>
        <row r="25">
          <cell r="B25" t="str">
            <v>KRD.Zdv26</v>
          </cell>
        </row>
        <row r="26">
          <cell r="B26" t="str">
            <v>KRD.Zdv27</v>
          </cell>
        </row>
        <row r="27">
          <cell r="B27" t="str">
            <v>KRD.Zdv28</v>
          </cell>
        </row>
        <row r="28">
          <cell r="B28" t="str">
            <v>Manifold.Zdv59</v>
          </cell>
        </row>
        <row r="29">
          <cell r="B29" t="str">
            <v>UPPSOD.Zdv4</v>
          </cell>
        </row>
        <row r="30">
          <cell r="B30" t="str">
            <v>UPPSOD.Zdv5</v>
          </cell>
        </row>
        <row r="31">
          <cell r="B31" t="str">
            <v>UPPSOD.Zdv6</v>
          </cell>
        </row>
        <row r="32">
          <cell r="B32" t="str">
            <v>UPPSOD.Zdv8</v>
          </cell>
        </row>
        <row r="33">
          <cell r="B33" t="str">
            <v>UPPSOD.Zdv44M</v>
          </cell>
        </row>
        <row r="34">
          <cell r="B34" t="str">
            <v>UPPSOD.Zdv45M</v>
          </cell>
        </row>
        <row r="35">
          <cell r="B35" t="str">
            <v>UPPSOD.Zdv46M</v>
          </cell>
        </row>
        <row r="36">
          <cell r="B36" t="str">
            <v>UPPSOD.Zdv47M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">
          <cell r="B3" t="str">
            <v xml:space="preserve"> </v>
          </cell>
          <cell r="D3">
            <v>0</v>
          </cell>
        </row>
        <row r="4">
          <cell r="B4" t="str">
            <v>0 - ДП</v>
          </cell>
          <cell r="D4" t="str">
            <v>Да</v>
          </cell>
        </row>
        <row r="5">
          <cell r="B5" t="str">
            <v>1 - ИП</v>
          </cell>
          <cell r="D5" t="str">
            <v>Нет</v>
          </cell>
        </row>
        <row r="6">
          <cell r="B6" t="str">
            <v>2 - ДВ</v>
          </cell>
        </row>
        <row r="7">
          <cell r="B7" t="str">
            <v>3 - АВ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T76"/>
  <sheetViews>
    <sheetView zoomScale="85" zoomScaleNormal="85" workbookViewId="0">
      <selection activeCell="D8" sqref="D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11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43.4257812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404023</v>
      </c>
      <c r="B3" s="4">
        <v>1</v>
      </c>
      <c r="C3" s="4">
        <v>0</v>
      </c>
      <c r="D3" t="s">
        <v>190</v>
      </c>
      <c r="F3" t="s">
        <v>21</v>
      </c>
      <c r="G3">
        <v>1</v>
      </c>
      <c r="H3" t="s">
        <v>117</v>
      </c>
      <c r="I3">
        <v>99999990</v>
      </c>
      <c r="S3" t="s">
        <v>191</v>
      </c>
      <c r="T3" s="5"/>
    </row>
    <row r="4" spans="1:20" x14ac:dyDescent="0.25">
      <c r="A4" s="4">
        <v>404023</v>
      </c>
      <c r="B4" s="4">
        <v>1</v>
      </c>
      <c r="C4" s="4">
        <v>0</v>
      </c>
      <c r="D4" t="s">
        <v>192</v>
      </c>
      <c r="E4" s="4" t="s">
        <v>49</v>
      </c>
      <c r="F4" t="s">
        <v>26</v>
      </c>
      <c r="G4">
        <v>1</v>
      </c>
      <c r="H4" t="s">
        <v>22</v>
      </c>
      <c r="I4">
        <v>300</v>
      </c>
      <c r="S4" t="s">
        <v>113</v>
      </c>
      <c r="T4" s="5"/>
    </row>
    <row r="5" spans="1:20" x14ac:dyDescent="0.25">
      <c r="A5" s="4">
        <v>404023</v>
      </c>
      <c r="B5" s="4">
        <v>1</v>
      </c>
      <c r="C5" s="4">
        <v>0</v>
      </c>
      <c r="D5" t="s">
        <v>193</v>
      </c>
      <c r="F5" t="s">
        <v>21</v>
      </c>
      <c r="G5">
        <v>1</v>
      </c>
      <c r="H5" t="s">
        <v>117</v>
      </c>
      <c r="I5">
        <v>99999990</v>
      </c>
      <c r="S5" s="6" t="s">
        <v>43</v>
      </c>
      <c r="T5" s="5"/>
    </row>
    <row r="6" spans="1:20" x14ac:dyDescent="0.25">
      <c r="A6" s="4">
        <v>404023</v>
      </c>
      <c r="B6" s="4">
        <v>1</v>
      </c>
      <c r="C6" s="4">
        <v>0</v>
      </c>
      <c r="D6" t="s">
        <v>358</v>
      </c>
      <c r="F6" t="s">
        <v>21</v>
      </c>
      <c r="G6">
        <v>1</v>
      </c>
      <c r="H6" t="s">
        <v>117</v>
      </c>
      <c r="I6">
        <v>99999990</v>
      </c>
      <c r="S6" s="6" t="s">
        <v>359</v>
      </c>
      <c r="T6" s="5"/>
    </row>
    <row r="7" spans="1:20" x14ac:dyDescent="0.25">
      <c r="A7" s="4">
        <v>404023</v>
      </c>
      <c r="B7" s="4">
        <v>1</v>
      </c>
      <c r="C7" s="4">
        <v>0</v>
      </c>
      <c r="D7" t="s">
        <v>194</v>
      </c>
      <c r="F7" t="s">
        <v>21</v>
      </c>
      <c r="G7">
        <v>1</v>
      </c>
      <c r="H7" t="s">
        <v>117</v>
      </c>
      <c r="I7">
        <v>300</v>
      </c>
      <c r="S7" s="6" t="s">
        <v>195</v>
      </c>
      <c r="T7" s="5"/>
    </row>
    <row r="8" spans="1:20" x14ac:dyDescent="0.25">
      <c r="A8" s="4">
        <v>404023</v>
      </c>
      <c r="B8" s="4">
        <v>1</v>
      </c>
      <c r="C8" s="4">
        <v>0</v>
      </c>
      <c r="D8" t="s">
        <v>196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197</v>
      </c>
      <c r="T8" s="5"/>
    </row>
    <row r="9" spans="1:20" x14ac:dyDescent="0.25">
      <c r="A9" s="4">
        <v>404023</v>
      </c>
      <c r="B9" s="4">
        <v>1</v>
      </c>
      <c r="C9" s="4">
        <v>0</v>
      </c>
      <c r="D9" t="s">
        <v>198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t="s">
        <v>199</v>
      </c>
    </row>
    <row r="10" spans="1:20" x14ac:dyDescent="0.25">
      <c r="A10" s="4">
        <v>404023</v>
      </c>
      <c r="B10" s="4">
        <v>1</v>
      </c>
      <c r="C10" s="4">
        <v>0</v>
      </c>
      <c r="D10" t="s">
        <v>488</v>
      </c>
      <c r="F10" t="s">
        <v>21</v>
      </c>
      <c r="G10">
        <v>1</v>
      </c>
      <c r="H10" t="s">
        <v>117</v>
      </c>
      <c r="I10">
        <v>99999990</v>
      </c>
      <c r="S10" t="s">
        <v>485</v>
      </c>
    </row>
    <row r="11" spans="1:20" x14ac:dyDescent="0.25">
      <c r="A11" s="4">
        <v>403000</v>
      </c>
      <c r="B11" s="4">
        <v>2</v>
      </c>
      <c r="C11" s="4">
        <v>0</v>
      </c>
      <c r="D11" t="s">
        <v>200</v>
      </c>
      <c r="F11" t="s">
        <v>201</v>
      </c>
      <c r="G11">
        <v>1</v>
      </c>
      <c r="H11" t="s">
        <v>22</v>
      </c>
      <c r="I11">
        <v>300</v>
      </c>
      <c r="S11" t="s">
        <v>202</v>
      </c>
      <c r="T11" s="7">
        <v>0</v>
      </c>
    </row>
    <row r="12" spans="1:20" x14ac:dyDescent="0.25">
      <c r="A12" s="4">
        <v>432778</v>
      </c>
      <c r="B12" s="4">
        <v>2</v>
      </c>
      <c r="C12" s="4">
        <v>0</v>
      </c>
      <c r="D12" t="s">
        <v>670</v>
      </c>
      <c r="F12" t="s">
        <v>201</v>
      </c>
      <c r="G12">
        <v>1</v>
      </c>
      <c r="H12" t="s">
        <v>22</v>
      </c>
      <c r="I12">
        <v>300</v>
      </c>
      <c r="S12" t="s">
        <v>671</v>
      </c>
      <c r="T12" s="7"/>
    </row>
    <row r="13" spans="1:20" x14ac:dyDescent="0.25">
      <c r="A13" s="4">
        <v>430674</v>
      </c>
      <c r="B13" s="4">
        <v>2</v>
      </c>
      <c r="C13" s="4">
        <v>0</v>
      </c>
      <c r="D13" t="s">
        <v>668</v>
      </c>
      <c r="F13" t="s">
        <v>201</v>
      </c>
      <c r="G13">
        <v>1</v>
      </c>
      <c r="H13" t="s">
        <v>117</v>
      </c>
      <c r="I13">
        <v>1000</v>
      </c>
      <c r="J13" t="s">
        <v>679</v>
      </c>
      <c r="K13" t="s">
        <v>703</v>
      </c>
      <c r="L13" t="s">
        <v>703</v>
      </c>
      <c r="M13" t="s">
        <v>703</v>
      </c>
      <c r="N13" t="s">
        <v>703</v>
      </c>
      <c r="S13" t="s">
        <v>669</v>
      </c>
    </row>
    <row r="14" spans="1:20" x14ac:dyDescent="0.25">
      <c r="A14" s="4">
        <v>405801</v>
      </c>
      <c r="B14" s="4">
        <v>1</v>
      </c>
      <c r="C14" s="4">
        <v>0</v>
      </c>
      <c r="D14" t="s">
        <v>830</v>
      </c>
      <c r="F14" t="s">
        <v>295</v>
      </c>
      <c r="G14">
        <v>1</v>
      </c>
      <c r="H14" t="s">
        <v>117</v>
      </c>
      <c r="I14">
        <v>300</v>
      </c>
      <c r="J14" t="s">
        <v>679</v>
      </c>
      <c r="K14">
        <v>0</v>
      </c>
      <c r="L14">
        <v>1000</v>
      </c>
      <c r="M14">
        <v>0</v>
      </c>
      <c r="N14">
        <v>1</v>
      </c>
      <c r="O14" t="s">
        <v>201</v>
      </c>
      <c r="R14" t="s">
        <v>832</v>
      </c>
      <c r="S14" t="s">
        <v>831</v>
      </c>
    </row>
    <row r="15" spans="1:20" x14ac:dyDescent="0.25">
      <c r="A15" s="4">
        <v>411065</v>
      </c>
      <c r="B15" s="4">
        <v>4</v>
      </c>
      <c r="C15" s="4">
        <v>0</v>
      </c>
      <c r="D15" t="s">
        <v>722</v>
      </c>
      <c r="F15" t="s">
        <v>21</v>
      </c>
      <c r="G15">
        <v>1</v>
      </c>
      <c r="H15" t="s">
        <v>22</v>
      </c>
      <c r="I15">
        <v>300</v>
      </c>
      <c r="S15" t="s">
        <v>723</v>
      </c>
    </row>
    <row r="16" spans="1:20" x14ac:dyDescent="0.25">
      <c r="A16" s="4">
        <v>411065</v>
      </c>
      <c r="B16" s="4">
        <v>4</v>
      </c>
      <c r="C16" s="4">
        <v>1</v>
      </c>
      <c r="D16" t="s">
        <v>203</v>
      </c>
      <c r="E16" s="4" t="s">
        <v>49</v>
      </c>
      <c r="F16" t="s">
        <v>26</v>
      </c>
      <c r="G16">
        <v>1</v>
      </c>
      <c r="H16" t="s">
        <v>22</v>
      </c>
      <c r="I16">
        <v>300</v>
      </c>
      <c r="S16" t="s">
        <v>204</v>
      </c>
    </row>
    <row r="17" spans="1:19" x14ac:dyDescent="0.25">
      <c r="A17" s="4">
        <v>411065</v>
      </c>
      <c r="B17" s="4">
        <v>4</v>
      </c>
      <c r="C17" s="4">
        <v>1</v>
      </c>
      <c r="D17" t="s">
        <v>205</v>
      </c>
      <c r="E17" s="4" t="s">
        <v>57</v>
      </c>
      <c r="F17" t="s">
        <v>26</v>
      </c>
      <c r="G17">
        <v>1</v>
      </c>
      <c r="H17" t="s">
        <v>22</v>
      </c>
      <c r="I17">
        <v>300</v>
      </c>
      <c r="S17" t="s">
        <v>206</v>
      </c>
    </row>
    <row r="18" spans="1:19" x14ac:dyDescent="0.25">
      <c r="A18" s="4">
        <v>411065</v>
      </c>
      <c r="B18" s="4">
        <v>4</v>
      </c>
      <c r="C18" s="4">
        <v>1</v>
      </c>
      <c r="D18" t="s">
        <v>207</v>
      </c>
      <c r="E18" s="4" t="s">
        <v>65</v>
      </c>
      <c r="F18" t="s">
        <v>26</v>
      </c>
      <c r="G18">
        <v>1</v>
      </c>
      <c r="H18" t="s">
        <v>22</v>
      </c>
      <c r="I18">
        <v>300</v>
      </c>
      <c r="S18" t="s">
        <v>208</v>
      </c>
    </row>
    <row r="19" spans="1:19" x14ac:dyDescent="0.25">
      <c r="A19" s="4">
        <v>411065</v>
      </c>
      <c r="B19" s="4">
        <v>4</v>
      </c>
      <c r="C19" s="4">
        <v>1</v>
      </c>
      <c r="D19" t="s">
        <v>209</v>
      </c>
      <c r="E19" s="4" t="s">
        <v>54</v>
      </c>
      <c r="F19" t="s">
        <v>26</v>
      </c>
      <c r="G19">
        <v>1</v>
      </c>
      <c r="H19" t="s">
        <v>22</v>
      </c>
      <c r="I19">
        <v>300</v>
      </c>
      <c r="S19" t="s">
        <v>210</v>
      </c>
    </row>
    <row r="20" spans="1:19" x14ac:dyDescent="0.25">
      <c r="A20" s="4">
        <v>411065</v>
      </c>
      <c r="B20" s="4">
        <v>4</v>
      </c>
      <c r="C20" s="4">
        <v>1</v>
      </c>
      <c r="D20" t="s">
        <v>211</v>
      </c>
      <c r="E20" s="4" t="s">
        <v>38</v>
      </c>
      <c r="F20" t="s">
        <v>26</v>
      </c>
      <c r="G20">
        <v>1</v>
      </c>
      <c r="H20" t="s">
        <v>22</v>
      </c>
      <c r="I20">
        <v>300</v>
      </c>
      <c r="S20" t="s">
        <v>212</v>
      </c>
    </row>
    <row r="21" spans="1:19" x14ac:dyDescent="0.25">
      <c r="A21" s="4">
        <v>411065</v>
      </c>
      <c r="B21" s="4">
        <v>4</v>
      </c>
      <c r="C21" s="4">
        <v>1</v>
      </c>
      <c r="D21" t="s">
        <v>213</v>
      </c>
      <c r="E21" s="4" t="s">
        <v>77</v>
      </c>
      <c r="F21" t="s">
        <v>26</v>
      </c>
      <c r="G21">
        <v>1</v>
      </c>
      <c r="H21" t="s">
        <v>22</v>
      </c>
      <c r="I21">
        <v>300</v>
      </c>
      <c r="S21" t="s">
        <v>214</v>
      </c>
    </row>
    <row r="22" spans="1:19" x14ac:dyDescent="0.25">
      <c r="A22" s="4">
        <v>411065</v>
      </c>
      <c r="B22" s="4">
        <v>4</v>
      </c>
      <c r="C22" s="4">
        <v>1</v>
      </c>
      <c r="D22" t="s">
        <v>215</v>
      </c>
      <c r="E22" s="4" t="s">
        <v>80</v>
      </c>
      <c r="F22" t="s">
        <v>26</v>
      </c>
      <c r="G22">
        <v>1</v>
      </c>
      <c r="H22" t="s">
        <v>22</v>
      </c>
      <c r="I22">
        <v>300</v>
      </c>
      <c r="S22" t="s">
        <v>216</v>
      </c>
    </row>
    <row r="23" spans="1:19" x14ac:dyDescent="0.25">
      <c r="A23" s="4">
        <v>411065</v>
      </c>
      <c r="B23" s="4">
        <v>4</v>
      </c>
      <c r="C23" s="4">
        <v>1</v>
      </c>
      <c r="D23" t="s">
        <v>217</v>
      </c>
      <c r="E23" s="4" t="s">
        <v>36</v>
      </c>
      <c r="F23" t="s">
        <v>26</v>
      </c>
      <c r="G23">
        <v>1</v>
      </c>
      <c r="H23" t="s">
        <v>22</v>
      </c>
      <c r="I23">
        <v>300</v>
      </c>
      <c r="J23" t="s">
        <v>356</v>
      </c>
      <c r="S23" t="s">
        <v>218</v>
      </c>
    </row>
    <row r="24" spans="1:19" x14ac:dyDescent="0.25">
      <c r="A24" s="4">
        <v>411065</v>
      </c>
      <c r="B24" s="4">
        <v>4</v>
      </c>
      <c r="C24" s="4">
        <v>1</v>
      </c>
      <c r="D24" t="s">
        <v>219</v>
      </c>
      <c r="E24" s="4" t="s">
        <v>33</v>
      </c>
      <c r="F24" t="s">
        <v>26</v>
      </c>
      <c r="G24">
        <v>1</v>
      </c>
      <c r="H24" t="s">
        <v>22</v>
      </c>
      <c r="I24">
        <v>300</v>
      </c>
      <c r="S24" t="s">
        <v>220</v>
      </c>
    </row>
    <row r="25" spans="1:19" x14ac:dyDescent="0.25">
      <c r="A25" s="4">
        <v>411065</v>
      </c>
      <c r="B25" s="4">
        <v>4</v>
      </c>
      <c r="C25" s="4">
        <v>1</v>
      </c>
      <c r="D25" t="s">
        <v>221</v>
      </c>
      <c r="E25" s="4" t="s">
        <v>31</v>
      </c>
      <c r="F25" t="s">
        <v>26</v>
      </c>
      <c r="G25">
        <v>1</v>
      </c>
      <c r="H25" t="s">
        <v>22</v>
      </c>
      <c r="I25">
        <v>300</v>
      </c>
      <c r="S25" t="s">
        <v>222</v>
      </c>
    </row>
    <row r="26" spans="1:19" x14ac:dyDescent="0.25">
      <c r="A26" s="4">
        <v>411065</v>
      </c>
      <c r="B26" s="4">
        <v>4</v>
      </c>
      <c r="C26" s="4">
        <v>1</v>
      </c>
      <c r="D26" t="s">
        <v>223</v>
      </c>
      <c r="E26" s="4" t="s">
        <v>35</v>
      </c>
      <c r="F26" t="s">
        <v>26</v>
      </c>
      <c r="G26">
        <v>1</v>
      </c>
      <c r="H26" t="s">
        <v>22</v>
      </c>
      <c r="I26">
        <v>300</v>
      </c>
      <c r="S26" t="s">
        <v>224</v>
      </c>
    </row>
    <row r="27" spans="1:19" x14ac:dyDescent="0.25">
      <c r="A27" s="4">
        <v>411065</v>
      </c>
      <c r="B27" s="4">
        <v>4</v>
      </c>
      <c r="C27" s="4">
        <v>1</v>
      </c>
      <c r="D27" t="s">
        <v>225</v>
      </c>
      <c r="E27" s="4" t="s">
        <v>27</v>
      </c>
      <c r="F27" t="s">
        <v>26</v>
      </c>
      <c r="G27">
        <v>1</v>
      </c>
      <c r="H27" t="s">
        <v>22</v>
      </c>
      <c r="I27">
        <v>300</v>
      </c>
      <c r="S27" t="s">
        <v>226</v>
      </c>
    </row>
    <row r="28" spans="1:19" x14ac:dyDescent="0.25">
      <c r="A28" s="4">
        <v>411065</v>
      </c>
      <c r="B28" s="4">
        <v>4</v>
      </c>
      <c r="C28" s="4">
        <v>1</v>
      </c>
      <c r="D28" t="s">
        <v>227</v>
      </c>
      <c r="E28" s="4" t="s">
        <v>25</v>
      </c>
      <c r="F28" t="s">
        <v>26</v>
      </c>
      <c r="G28">
        <v>1</v>
      </c>
      <c r="H28" t="s">
        <v>22</v>
      </c>
      <c r="I28">
        <v>300</v>
      </c>
      <c r="S28" t="s">
        <v>228</v>
      </c>
    </row>
    <row r="29" spans="1:19" x14ac:dyDescent="0.25">
      <c r="A29" s="4">
        <v>411065</v>
      </c>
      <c r="B29" s="4">
        <v>4</v>
      </c>
      <c r="C29" s="4">
        <v>1</v>
      </c>
      <c r="D29" t="s">
        <v>229</v>
      </c>
      <c r="E29" s="4" t="s">
        <v>29</v>
      </c>
      <c r="F29" t="s">
        <v>26</v>
      </c>
      <c r="G29">
        <v>1</v>
      </c>
      <c r="H29" t="s">
        <v>22</v>
      </c>
      <c r="I29">
        <v>300</v>
      </c>
      <c r="S29" t="s">
        <v>230</v>
      </c>
    </row>
    <row r="30" spans="1:19" x14ac:dyDescent="0.25">
      <c r="A30" s="4">
        <v>411065</v>
      </c>
      <c r="B30" s="4">
        <v>4</v>
      </c>
      <c r="C30" s="4">
        <v>2</v>
      </c>
      <c r="D30" t="s">
        <v>231</v>
      </c>
      <c r="E30" s="4" t="s">
        <v>49</v>
      </c>
      <c r="F30" t="s">
        <v>26</v>
      </c>
      <c r="G30">
        <v>1</v>
      </c>
      <c r="H30" t="s">
        <v>22</v>
      </c>
      <c r="I30">
        <v>300</v>
      </c>
      <c r="S30" t="s">
        <v>232</v>
      </c>
    </row>
    <row r="31" spans="1:19" x14ac:dyDescent="0.25">
      <c r="A31" s="4">
        <v>411065</v>
      </c>
      <c r="B31" s="4">
        <v>4</v>
      </c>
      <c r="C31" s="4">
        <v>2</v>
      </c>
      <c r="D31" t="s">
        <v>233</v>
      </c>
      <c r="E31" s="4" t="s">
        <v>57</v>
      </c>
      <c r="F31" t="s">
        <v>26</v>
      </c>
      <c r="G31">
        <v>1</v>
      </c>
      <c r="H31" t="s">
        <v>22</v>
      </c>
      <c r="I31">
        <v>300</v>
      </c>
      <c r="S31" t="s">
        <v>234</v>
      </c>
    </row>
    <row r="32" spans="1:19" x14ac:dyDescent="0.25">
      <c r="A32" s="4">
        <v>411065</v>
      </c>
      <c r="B32" s="4">
        <v>4</v>
      </c>
      <c r="C32" s="4">
        <v>2</v>
      </c>
      <c r="D32" t="s">
        <v>235</v>
      </c>
      <c r="E32" s="4" t="s">
        <v>65</v>
      </c>
      <c r="F32" t="s">
        <v>26</v>
      </c>
      <c r="G32">
        <v>1</v>
      </c>
      <c r="H32" t="s">
        <v>22</v>
      </c>
      <c r="I32">
        <v>300</v>
      </c>
      <c r="S32" t="s">
        <v>236</v>
      </c>
    </row>
    <row r="33" spans="1:19" x14ac:dyDescent="0.25">
      <c r="A33" s="4">
        <v>411065</v>
      </c>
      <c r="B33" s="4">
        <v>4</v>
      </c>
      <c r="C33" s="4">
        <v>2</v>
      </c>
      <c r="D33" t="s">
        <v>237</v>
      </c>
      <c r="E33" s="4" t="s">
        <v>54</v>
      </c>
      <c r="F33" t="s">
        <v>26</v>
      </c>
      <c r="G33">
        <v>1</v>
      </c>
      <c r="H33" t="s">
        <v>22</v>
      </c>
      <c r="I33">
        <v>300</v>
      </c>
      <c r="S33" t="s">
        <v>238</v>
      </c>
    </row>
    <row r="34" spans="1:19" x14ac:dyDescent="0.25">
      <c r="A34" s="4">
        <v>411065</v>
      </c>
      <c r="B34" s="4">
        <v>4</v>
      </c>
      <c r="C34" s="4">
        <v>2</v>
      </c>
      <c r="D34" t="s">
        <v>239</v>
      </c>
      <c r="E34" s="4" t="s">
        <v>38</v>
      </c>
      <c r="F34" t="s">
        <v>26</v>
      </c>
      <c r="G34">
        <v>1</v>
      </c>
      <c r="H34" t="s">
        <v>22</v>
      </c>
      <c r="I34">
        <v>300</v>
      </c>
      <c r="S34" t="s">
        <v>240</v>
      </c>
    </row>
    <row r="35" spans="1:19" x14ac:dyDescent="0.25">
      <c r="A35" s="4">
        <v>411065</v>
      </c>
      <c r="B35" s="4">
        <v>4</v>
      </c>
      <c r="C35" s="4">
        <v>2</v>
      </c>
      <c r="D35" t="s">
        <v>241</v>
      </c>
      <c r="E35" s="4" t="s">
        <v>77</v>
      </c>
      <c r="F35" t="s">
        <v>26</v>
      </c>
      <c r="G35">
        <v>1</v>
      </c>
      <c r="H35" t="s">
        <v>22</v>
      </c>
      <c r="I35">
        <v>300</v>
      </c>
      <c r="S35" t="s">
        <v>242</v>
      </c>
    </row>
    <row r="36" spans="1:19" x14ac:dyDescent="0.25">
      <c r="A36" s="4">
        <v>411065</v>
      </c>
      <c r="B36" s="4">
        <v>4</v>
      </c>
      <c r="C36" s="4">
        <v>2</v>
      </c>
      <c r="D36" t="s">
        <v>243</v>
      </c>
      <c r="E36" s="4" t="s">
        <v>80</v>
      </c>
      <c r="F36" t="s">
        <v>26</v>
      </c>
      <c r="G36">
        <v>1</v>
      </c>
      <c r="H36" t="s">
        <v>22</v>
      </c>
      <c r="I36">
        <v>300</v>
      </c>
      <c r="S36" t="s">
        <v>244</v>
      </c>
    </row>
    <row r="37" spans="1:19" x14ac:dyDescent="0.25">
      <c r="A37" s="4">
        <v>411065</v>
      </c>
      <c r="B37" s="4">
        <v>4</v>
      </c>
      <c r="C37" s="4">
        <v>2</v>
      </c>
      <c r="D37" t="s">
        <v>245</v>
      </c>
      <c r="E37" s="4" t="s">
        <v>36</v>
      </c>
      <c r="F37" t="s">
        <v>26</v>
      </c>
      <c r="G37">
        <v>1</v>
      </c>
      <c r="H37" t="s">
        <v>22</v>
      </c>
      <c r="I37">
        <v>300</v>
      </c>
      <c r="S37" t="s">
        <v>246</v>
      </c>
    </row>
    <row r="38" spans="1:19" x14ac:dyDescent="0.25">
      <c r="A38" s="4">
        <v>411065</v>
      </c>
      <c r="B38" s="4">
        <v>4</v>
      </c>
      <c r="C38" s="4">
        <v>2</v>
      </c>
      <c r="D38" t="s">
        <v>247</v>
      </c>
      <c r="E38" s="4" t="s">
        <v>33</v>
      </c>
      <c r="F38" t="s">
        <v>26</v>
      </c>
      <c r="G38">
        <v>1</v>
      </c>
      <c r="H38" t="s">
        <v>22</v>
      </c>
      <c r="I38">
        <v>300</v>
      </c>
      <c r="S38" t="s">
        <v>248</v>
      </c>
    </row>
    <row r="39" spans="1:19" x14ac:dyDescent="0.25">
      <c r="A39" s="4">
        <v>411065</v>
      </c>
      <c r="B39" s="4">
        <v>4</v>
      </c>
      <c r="C39" s="4">
        <v>2</v>
      </c>
      <c r="D39" t="s">
        <v>249</v>
      </c>
      <c r="E39" s="4" t="s">
        <v>31</v>
      </c>
      <c r="F39" t="s">
        <v>26</v>
      </c>
      <c r="G39">
        <v>1</v>
      </c>
      <c r="H39" t="s">
        <v>22</v>
      </c>
      <c r="I39">
        <v>300</v>
      </c>
      <c r="S39" t="s">
        <v>250</v>
      </c>
    </row>
    <row r="40" spans="1:19" x14ac:dyDescent="0.25">
      <c r="A40" s="4">
        <v>411065</v>
      </c>
      <c r="B40" s="4">
        <v>4</v>
      </c>
      <c r="C40" s="4">
        <v>2</v>
      </c>
      <c r="D40" t="s">
        <v>251</v>
      </c>
      <c r="E40" s="4" t="s">
        <v>35</v>
      </c>
      <c r="F40" t="s">
        <v>26</v>
      </c>
      <c r="G40">
        <v>1</v>
      </c>
      <c r="H40" t="s">
        <v>22</v>
      </c>
      <c r="I40">
        <v>300</v>
      </c>
      <c r="S40" t="s">
        <v>252</v>
      </c>
    </row>
    <row r="41" spans="1:19" x14ac:dyDescent="0.25">
      <c r="A41" s="4">
        <v>411065</v>
      </c>
      <c r="B41" s="4">
        <v>4</v>
      </c>
      <c r="C41" s="4">
        <v>2</v>
      </c>
      <c r="D41" t="s">
        <v>253</v>
      </c>
      <c r="E41" s="4" t="s">
        <v>27</v>
      </c>
      <c r="F41" t="s">
        <v>26</v>
      </c>
      <c r="G41">
        <v>1</v>
      </c>
      <c r="H41" t="s">
        <v>22</v>
      </c>
      <c r="I41">
        <v>300</v>
      </c>
      <c r="S41" t="s">
        <v>254</v>
      </c>
    </row>
    <row r="42" spans="1:19" x14ac:dyDescent="0.25">
      <c r="A42" s="4">
        <v>411065</v>
      </c>
      <c r="B42" s="4">
        <v>4</v>
      </c>
      <c r="C42" s="4">
        <v>2</v>
      </c>
      <c r="D42" t="s">
        <v>255</v>
      </c>
      <c r="E42" s="4" t="s">
        <v>25</v>
      </c>
      <c r="F42" t="s">
        <v>26</v>
      </c>
      <c r="G42">
        <v>1</v>
      </c>
      <c r="H42" t="s">
        <v>22</v>
      </c>
      <c r="I42">
        <v>300</v>
      </c>
      <c r="S42" t="s">
        <v>256</v>
      </c>
    </row>
    <row r="43" spans="1:19" x14ac:dyDescent="0.25">
      <c r="A43" s="4">
        <v>411065</v>
      </c>
      <c r="B43" s="4">
        <v>4</v>
      </c>
      <c r="C43" s="4">
        <v>2</v>
      </c>
      <c r="D43" t="s">
        <v>257</v>
      </c>
      <c r="E43" s="4" t="s">
        <v>29</v>
      </c>
      <c r="F43" t="s">
        <v>26</v>
      </c>
      <c r="G43">
        <v>1</v>
      </c>
      <c r="H43" t="s">
        <v>22</v>
      </c>
      <c r="I43">
        <v>300</v>
      </c>
      <c r="S43" t="s">
        <v>258</v>
      </c>
    </row>
    <row r="44" spans="1:19" x14ac:dyDescent="0.25">
      <c r="A44" s="4">
        <v>411065</v>
      </c>
      <c r="B44" s="4">
        <v>4</v>
      </c>
      <c r="C44" s="4">
        <v>0</v>
      </c>
      <c r="D44" t="s">
        <v>259</v>
      </c>
      <c r="E44" s="4" t="s">
        <v>49</v>
      </c>
      <c r="F44" t="s">
        <v>26</v>
      </c>
      <c r="G44">
        <v>1</v>
      </c>
      <c r="H44" t="s">
        <v>22</v>
      </c>
      <c r="I44">
        <v>300</v>
      </c>
      <c r="S44" t="s">
        <v>602</v>
      </c>
    </row>
    <row r="45" spans="1:19" x14ac:dyDescent="0.25">
      <c r="A45" s="4">
        <v>411065</v>
      </c>
      <c r="B45" s="4">
        <v>4</v>
      </c>
      <c r="C45" s="4">
        <v>0</v>
      </c>
      <c r="D45" t="s">
        <v>260</v>
      </c>
      <c r="E45" s="4" t="s">
        <v>57</v>
      </c>
      <c r="F45" t="s">
        <v>26</v>
      </c>
      <c r="G45">
        <v>1</v>
      </c>
      <c r="H45" t="s">
        <v>22</v>
      </c>
      <c r="I45">
        <v>300</v>
      </c>
      <c r="S45" t="s">
        <v>603</v>
      </c>
    </row>
    <row r="46" spans="1:19" x14ac:dyDescent="0.25">
      <c r="A46" s="4">
        <v>411065</v>
      </c>
      <c r="B46" s="4">
        <v>4</v>
      </c>
      <c r="C46" s="4">
        <v>0</v>
      </c>
      <c r="D46" t="s">
        <v>261</v>
      </c>
      <c r="E46" s="4" t="s">
        <v>65</v>
      </c>
      <c r="F46" t="s">
        <v>26</v>
      </c>
      <c r="G46">
        <v>1</v>
      </c>
      <c r="H46" t="s">
        <v>22</v>
      </c>
      <c r="I46">
        <v>300</v>
      </c>
      <c r="S46" t="s">
        <v>604</v>
      </c>
    </row>
    <row r="47" spans="1:19" x14ac:dyDescent="0.25">
      <c r="A47" s="4">
        <v>411065</v>
      </c>
      <c r="B47" s="4">
        <v>4</v>
      </c>
      <c r="C47" s="4">
        <v>0</v>
      </c>
      <c r="D47" t="s">
        <v>262</v>
      </c>
      <c r="E47" s="4" t="s">
        <v>54</v>
      </c>
      <c r="F47" t="s">
        <v>26</v>
      </c>
      <c r="G47">
        <v>1</v>
      </c>
      <c r="H47" t="s">
        <v>22</v>
      </c>
      <c r="I47">
        <v>300</v>
      </c>
      <c r="S47" t="s">
        <v>605</v>
      </c>
    </row>
    <row r="48" spans="1:19" x14ac:dyDescent="0.25">
      <c r="A48" s="4">
        <v>411065</v>
      </c>
      <c r="B48" s="4">
        <v>4</v>
      </c>
      <c r="C48" s="4">
        <v>0</v>
      </c>
      <c r="D48" t="s">
        <v>263</v>
      </c>
      <c r="E48" s="4" t="s">
        <v>38</v>
      </c>
      <c r="F48" t="s">
        <v>26</v>
      </c>
      <c r="G48">
        <v>1</v>
      </c>
      <c r="H48" t="s">
        <v>22</v>
      </c>
      <c r="I48">
        <v>300</v>
      </c>
      <c r="S48" t="s">
        <v>606</v>
      </c>
    </row>
    <row r="49" spans="1:19" x14ac:dyDescent="0.25">
      <c r="A49" s="4">
        <v>411065</v>
      </c>
      <c r="B49" s="4">
        <v>4</v>
      </c>
      <c r="C49" s="4">
        <v>0</v>
      </c>
      <c r="D49" t="s">
        <v>264</v>
      </c>
      <c r="E49" s="4" t="s">
        <v>77</v>
      </c>
      <c r="F49" t="s">
        <v>26</v>
      </c>
      <c r="G49">
        <v>1</v>
      </c>
      <c r="H49" t="s">
        <v>22</v>
      </c>
      <c r="I49">
        <v>300</v>
      </c>
      <c r="S49" t="s">
        <v>607</v>
      </c>
    </row>
    <row r="50" spans="1:19" x14ac:dyDescent="0.25">
      <c r="A50" s="4">
        <v>411065</v>
      </c>
      <c r="B50" s="4">
        <v>4</v>
      </c>
      <c r="C50" s="4">
        <v>0</v>
      </c>
      <c r="D50" t="s">
        <v>265</v>
      </c>
      <c r="E50" s="4" t="s">
        <v>80</v>
      </c>
      <c r="F50" t="s">
        <v>26</v>
      </c>
      <c r="G50">
        <v>1</v>
      </c>
      <c r="H50" t="s">
        <v>22</v>
      </c>
      <c r="I50">
        <v>300</v>
      </c>
      <c r="S50" t="s">
        <v>266</v>
      </c>
    </row>
    <row r="51" spans="1:19" x14ac:dyDescent="0.25">
      <c r="A51" s="4">
        <v>411065</v>
      </c>
      <c r="B51" s="4">
        <v>4</v>
      </c>
      <c r="C51" s="4">
        <v>0</v>
      </c>
      <c r="D51" t="s">
        <v>267</v>
      </c>
      <c r="E51" s="4" t="s">
        <v>36</v>
      </c>
      <c r="F51" t="s">
        <v>26</v>
      </c>
      <c r="G51">
        <v>1</v>
      </c>
      <c r="H51" t="s">
        <v>22</v>
      </c>
      <c r="I51">
        <v>300</v>
      </c>
      <c r="S51" t="s">
        <v>608</v>
      </c>
    </row>
    <row r="52" spans="1:19" x14ac:dyDescent="0.25">
      <c r="A52" s="4">
        <v>411065</v>
      </c>
      <c r="B52" s="4">
        <v>4</v>
      </c>
      <c r="C52" s="4">
        <v>0</v>
      </c>
      <c r="D52" t="s">
        <v>268</v>
      </c>
      <c r="E52" s="4" t="s">
        <v>33</v>
      </c>
      <c r="F52" t="s">
        <v>26</v>
      </c>
      <c r="G52">
        <v>1</v>
      </c>
      <c r="H52" t="s">
        <v>22</v>
      </c>
      <c r="I52">
        <v>300</v>
      </c>
      <c r="S52" t="s">
        <v>609</v>
      </c>
    </row>
    <row r="53" spans="1:19" x14ac:dyDescent="0.25">
      <c r="A53" s="4">
        <v>411065</v>
      </c>
      <c r="B53" s="4">
        <v>4</v>
      </c>
      <c r="C53" s="4">
        <v>0</v>
      </c>
      <c r="D53" t="s">
        <v>269</v>
      </c>
      <c r="E53" s="4" t="s">
        <v>31</v>
      </c>
      <c r="F53" t="s">
        <v>26</v>
      </c>
      <c r="G53">
        <v>1</v>
      </c>
      <c r="H53" t="s">
        <v>22</v>
      </c>
      <c r="I53">
        <v>300</v>
      </c>
      <c r="S53" t="s">
        <v>610</v>
      </c>
    </row>
    <row r="54" spans="1:19" x14ac:dyDescent="0.25">
      <c r="A54" s="4">
        <v>411065</v>
      </c>
      <c r="B54" s="4">
        <v>4</v>
      </c>
      <c r="C54" s="4">
        <v>0</v>
      </c>
      <c r="D54" t="s">
        <v>270</v>
      </c>
      <c r="E54" s="4" t="s">
        <v>35</v>
      </c>
      <c r="F54" t="s">
        <v>26</v>
      </c>
      <c r="G54">
        <v>1</v>
      </c>
      <c r="H54" t="s">
        <v>22</v>
      </c>
      <c r="I54">
        <v>300</v>
      </c>
      <c r="S54" t="s">
        <v>611</v>
      </c>
    </row>
    <row r="55" spans="1:19" x14ac:dyDescent="0.25">
      <c r="A55" s="4">
        <v>411065</v>
      </c>
      <c r="B55" s="4">
        <v>4</v>
      </c>
      <c r="C55" s="4">
        <v>0</v>
      </c>
      <c r="D55" t="s">
        <v>271</v>
      </c>
      <c r="E55" s="4" t="s">
        <v>27</v>
      </c>
      <c r="F55" t="s">
        <v>26</v>
      </c>
      <c r="G55">
        <v>1</v>
      </c>
      <c r="H55" t="s">
        <v>22</v>
      </c>
      <c r="I55">
        <v>300</v>
      </c>
      <c r="S55" t="s">
        <v>612</v>
      </c>
    </row>
    <row r="56" spans="1:19" x14ac:dyDescent="0.25">
      <c r="A56" s="4">
        <v>411065</v>
      </c>
      <c r="B56" s="4">
        <v>4</v>
      </c>
      <c r="C56" s="4">
        <v>0</v>
      </c>
      <c r="D56" t="s">
        <v>272</v>
      </c>
      <c r="E56" s="4" t="s">
        <v>25</v>
      </c>
      <c r="F56" t="s">
        <v>26</v>
      </c>
      <c r="G56">
        <v>1</v>
      </c>
      <c r="H56" t="s">
        <v>22</v>
      </c>
      <c r="I56">
        <v>300</v>
      </c>
      <c r="S56" t="s">
        <v>613</v>
      </c>
    </row>
    <row r="57" spans="1:19" x14ac:dyDescent="0.25">
      <c r="A57" s="4">
        <v>411065</v>
      </c>
      <c r="B57" s="4">
        <v>4</v>
      </c>
      <c r="C57" s="4">
        <v>0</v>
      </c>
      <c r="D57" t="s">
        <v>273</v>
      </c>
      <c r="E57" s="4" t="s">
        <v>29</v>
      </c>
      <c r="F57" t="s">
        <v>26</v>
      </c>
      <c r="G57">
        <v>1</v>
      </c>
      <c r="H57" t="s">
        <v>22</v>
      </c>
      <c r="I57">
        <v>300</v>
      </c>
      <c r="S57" t="s">
        <v>274</v>
      </c>
    </row>
    <row r="58" spans="1:19" x14ac:dyDescent="0.25">
      <c r="A58" s="4">
        <v>411065</v>
      </c>
      <c r="B58" s="4">
        <v>4</v>
      </c>
      <c r="C58" s="4">
        <v>3</v>
      </c>
      <c r="D58" t="s">
        <v>277</v>
      </c>
      <c r="F58" t="s">
        <v>21</v>
      </c>
      <c r="G58">
        <v>1</v>
      </c>
      <c r="H58" t="s">
        <v>22</v>
      </c>
      <c r="I58">
        <v>300</v>
      </c>
      <c r="S58" t="s">
        <v>278</v>
      </c>
    </row>
    <row r="59" spans="1:19" x14ac:dyDescent="0.25">
      <c r="A59" s="4">
        <v>413300</v>
      </c>
      <c r="B59" s="4">
        <v>34</v>
      </c>
      <c r="C59" s="4">
        <v>32</v>
      </c>
      <c r="D59" t="s">
        <v>734</v>
      </c>
      <c r="F59" t="s">
        <v>201</v>
      </c>
      <c r="G59">
        <v>1</v>
      </c>
      <c r="H59" t="s">
        <v>22</v>
      </c>
      <c r="I59">
        <v>300</v>
      </c>
      <c r="S59" t="s">
        <v>735</v>
      </c>
    </row>
    <row r="60" spans="1:19" x14ac:dyDescent="0.25">
      <c r="A60" s="4">
        <v>413300</v>
      </c>
      <c r="B60" s="4">
        <v>34</v>
      </c>
      <c r="C60" s="4">
        <v>30</v>
      </c>
      <c r="D60" t="s">
        <v>732</v>
      </c>
      <c r="F60" t="s">
        <v>201</v>
      </c>
      <c r="G60">
        <v>1</v>
      </c>
      <c r="H60" t="s">
        <v>22</v>
      </c>
      <c r="I60">
        <v>300</v>
      </c>
      <c r="S60" t="s">
        <v>733</v>
      </c>
    </row>
    <row r="61" spans="1:19" x14ac:dyDescent="0.25">
      <c r="A61" s="4">
        <v>413300</v>
      </c>
      <c r="B61" s="4">
        <v>34</v>
      </c>
      <c r="C61" s="4">
        <v>28</v>
      </c>
      <c r="D61" t="s">
        <v>275</v>
      </c>
      <c r="F61" t="s">
        <v>201</v>
      </c>
      <c r="G61">
        <v>1</v>
      </c>
      <c r="H61" t="s">
        <v>22</v>
      </c>
      <c r="I61">
        <v>300</v>
      </c>
      <c r="S61" t="s">
        <v>276</v>
      </c>
    </row>
    <row r="62" spans="1:19" x14ac:dyDescent="0.25">
      <c r="A62" s="4">
        <v>413300</v>
      </c>
      <c r="B62" s="4">
        <v>34</v>
      </c>
      <c r="C62" s="4">
        <v>14</v>
      </c>
      <c r="D62" t="s">
        <v>279</v>
      </c>
      <c r="F62" t="s">
        <v>201</v>
      </c>
      <c r="G62">
        <v>1</v>
      </c>
      <c r="H62" t="s">
        <v>22</v>
      </c>
      <c r="I62">
        <v>300</v>
      </c>
      <c r="S62" t="s">
        <v>614</v>
      </c>
    </row>
    <row r="63" spans="1:19" x14ac:dyDescent="0.25">
      <c r="A63" s="4">
        <v>413300</v>
      </c>
      <c r="B63" s="4">
        <v>34</v>
      </c>
      <c r="C63" s="4">
        <v>16</v>
      </c>
      <c r="D63" t="s">
        <v>280</v>
      </c>
      <c r="F63" t="s">
        <v>201</v>
      </c>
      <c r="G63">
        <v>1</v>
      </c>
      <c r="H63" t="s">
        <v>22</v>
      </c>
      <c r="I63">
        <v>300</v>
      </c>
      <c r="S63" t="s">
        <v>615</v>
      </c>
    </row>
    <row r="64" spans="1:19" x14ac:dyDescent="0.25">
      <c r="A64" s="4">
        <v>413300</v>
      </c>
      <c r="B64" s="4">
        <v>34</v>
      </c>
      <c r="C64" s="4">
        <v>18</v>
      </c>
      <c r="D64" t="s">
        <v>281</v>
      </c>
      <c r="F64" t="s">
        <v>201</v>
      </c>
      <c r="G64">
        <v>1</v>
      </c>
      <c r="H64" t="s">
        <v>22</v>
      </c>
      <c r="I64">
        <v>300</v>
      </c>
      <c r="S64" t="s">
        <v>616</v>
      </c>
    </row>
    <row r="65" spans="1:19" x14ac:dyDescent="0.25">
      <c r="A65" s="4">
        <v>413300</v>
      </c>
      <c r="B65" s="4">
        <v>34</v>
      </c>
      <c r="C65" s="4">
        <v>20</v>
      </c>
      <c r="D65" t="s">
        <v>282</v>
      </c>
      <c r="F65" t="s">
        <v>201</v>
      </c>
      <c r="G65">
        <v>1</v>
      </c>
      <c r="H65" t="s">
        <v>22</v>
      </c>
      <c r="I65">
        <v>300</v>
      </c>
      <c r="S65" t="s">
        <v>617</v>
      </c>
    </row>
    <row r="66" spans="1:19" x14ac:dyDescent="0.25">
      <c r="A66" s="4">
        <v>413300</v>
      </c>
      <c r="B66" s="4">
        <v>34</v>
      </c>
      <c r="C66" s="4">
        <v>22</v>
      </c>
      <c r="D66" t="s">
        <v>283</v>
      </c>
      <c r="F66" t="s">
        <v>201</v>
      </c>
      <c r="G66">
        <v>1</v>
      </c>
      <c r="H66" t="s">
        <v>22</v>
      </c>
      <c r="I66">
        <v>300</v>
      </c>
      <c r="S66" t="s">
        <v>618</v>
      </c>
    </row>
    <row r="67" spans="1:19" x14ac:dyDescent="0.25">
      <c r="A67" s="4">
        <v>413300</v>
      </c>
      <c r="B67" s="4">
        <v>34</v>
      </c>
      <c r="C67" s="4">
        <v>24</v>
      </c>
      <c r="D67" t="s">
        <v>284</v>
      </c>
      <c r="F67" t="s">
        <v>201</v>
      </c>
      <c r="G67">
        <v>1</v>
      </c>
      <c r="H67" t="s">
        <v>22</v>
      </c>
      <c r="I67">
        <v>300</v>
      </c>
      <c r="S67" t="s">
        <v>619</v>
      </c>
    </row>
    <row r="68" spans="1:19" x14ac:dyDescent="0.25">
      <c r="A68" s="4">
        <v>413300</v>
      </c>
      <c r="B68" s="4">
        <v>34</v>
      </c>
      <c r="C68" s="4">
        <v>26</v>
      </c>
      <c r="D68" t="s">
        <v>285</v>
      </c>
      <c r="F68" t="s">
        <v>201</v>
      </c>
      <c r="G68">
        <v>1</v>
      </c>
      <c r="H68" t="s">
        <v>22</v>
      </c>
      <c r="I68">
        <v>300</v>
      </c>
      <c r="S68" t="s">
        <v>286</v>
      </c>
    </row>
    <row r="69" spans="1:19" x14ac:dyDescent="0.25">
      <c r="A69" s="4">
        <v>413300</v>
      </c>
      <c r="B69" s="4">
        <v>34</v>
      </c>
      <c r="C69" s="4">
        <v>12</v>
      </c>
      <c r="D69" t="s">
        <v>287</v>
      </c>
      <c r="F69" t="s">
        <v>201</v>
      </c>
      <c r="G69">
        <v>1</v>
      </c>
      <c r="H69" t="s">
        <v>22</v>
      </c>
      <c r="I69">
        <v>300</v>
      </c>
      <c r="S69" t="s">
        <v>620</v>
      </c>
    </row>
    <row r="70" spans="1:19" x14ac:dyDescent="0.25">
      <c r="A70" s="4">
        <v>413300</v>
      </c>
      <c r="B70" s="4">
        <v>34</v>
      </c>
      <c r="C70" s="4">
        <v>10</v>
      </c>
      <c r="D70" t="s">
        <v>288</v>
      </c>
      <c r="F70" t="s">
        <v>201</v>
      </c>
      <c r="G70">
        <v>1</v>
      </c>
      <c r="H70" t="s">
        <v>22</v>
      </c>
      <c r="I70">
        <v>300</v>
      </c>
      <c r="S70" t="s">
        <v>621</v>
      </c>
    </row>
    <row r="71" spans="1:19" x14ac:dyDescent="0.25">
      <c r="A71" s="4">
        <v>413300</v>
      </c>
      <c r="B71" s="4">
        <v>34</v>
      </c>
      <c r="C71" s="4">
        <v>8</v>
      </c>
      <c r="D71" t="s">
        <v>289</v>
      </c>
      <c r="F71" t="s">
        <v>201</v>
      </c>
      <c r="G71">
        <v>1</v>
      </c>
      <c r="H71" t="s">
        <v>22</v>
      </c>
      <c r="I71">
        <v>300</v>
      </c>
      <c r="S71" t="s">
        <v>622</v>
      </c>
    </row>
    <row r="72" spans="1:19" x14ac:dyDescent="0.25">
      <c r="A72" s="4">
        <v>413300</v>
      </c>
      <c r="B72" s="4">
        <v>34</v>
      </c>
      <c r="C72" s="4">
        <v>6</v>
      </c>
      <c r="D72" t="s">
        <v>290</v>
      </c>
      <c r="F72" t="s">
        <v>201</v>
      </c>
      <c r="G72">
        <v>1</v>
      </c>
      <c r="H72" t="s">
        <v>22</v>
      </c>
      <c r="I72">
        <v>300</v>
      </c>
      <c r="S72" t="s">
        <v>623</v>
      </c>
    </row>
    <row r="73" spans="1:19" x14ac:dyDescent="0.25">
      <c r="A73" s="4">
        <v>413300</v>
      </c>
      <c r="B73" s="4">
        <v>34</v>
      </c>
      <c r="C73" s="4">
        <v>4</v>
      </c>
      <c r="D73" t="s">
        <v>291</v>
      </c>
      <c r="F73" t="s">
        <v>201</v>
      </c>
      <c r="G73">
        <v>1</v>
      </c>
      <c r="H73" t="s">
        <v>22</v>
      </c>
      <c r="I73">
        <v>300</v>
      </c>
      <c r="S73" t="s">
        <v>624</v>
      </c>
    </row>
    <row r="74" spans="1:19" x14ac:dyDescent="0.25">
      <c r="A74" s="4">
        <v>413300</v>
      </c>
      <c r="B74" s="4">
        <v>34</v>
      </c>
      <c r="C74" s="4">
        <v>2</v>
      </c>
      <c r="D74" t="s">
        <v>292</v>
      </c>
      <c r="F74" t="s">
        <v>201</v>
      </c>
      <c r="G74">
        <v>1</v>
      </c>
      <c r="H74" t="s">
        <v>22</v>
      </c>
      <c r="I74">
        <v>300</v>
      </c>
      <c r="S74" t="s">
        <v>625</v>
      </c>
    </row>
    <row r="75" spans="1:19" x14ac:dyDescent="0.25">
      <c r="A75" s="4">
        <v>413300</v>
      </c>
      <c r="B75" s="4">
        <v>34</v>
      </c>
      <c r="C75" s="4">
        <v>0</v>
      </c>
      <c r="D75" t="s">
        <v>293</v>
      </c>
      <c r="F75" t="s">
        <v>201</v>
      </c>
      <c r="G75">
        <v>1</v>
      </c>
      <c r="H75" t="s">
        <v>22</v>
      </c>
      <c r="I75">
        <v>300</v>
      </c>
      <c r="S75" t="s">
        <v>294</v>
      </c>
    </row>
    <row r="76" spans="1:19" x14ac:dyDescent="0.25">
      <c r="A76" s="4">
        <v>462662</v>
      </c>
      <c r="B76" s="4">
        <v>2</v>
      </c>
      <c r="C76" s="4">
        <v>0</v>
      </c>
      <c r="D76" t="s">
        <v>720</v>
      </c>
      <c r="F76" t="s">
        <v>201</v>
      </c>
      <c r="G76">
        <v>1</v>
      </c>
      <c r="H76" t="s">
        <v>117</v>
      </c>
      <c r="I76">
        <v>300</v>
      </c>
      <c r="S76" t="s">
        <v>721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/>
  <dimension ref="A1:T83"/>
  <sheetViews>
    <sheetView topLeftCell="A64" zoomScale="85" zoomScaleNormal="85" workbookViewId="0">
      <selection activeCell="C36" sqref="A36:T47"/>
    </sheetView>
  </sheetViews>
  <sheetFormatPr defaultRowHeight="15" x14ac:dyDescent="0.25"/>
  <cols>
    <col min="1" max="1" width="35.5703125" bestFit="1" customWidth="1"/>
    <col min="2" max="2" width="16.85546875" customWidth="1"/>
    <col min="3" max="3" width="14.5703125" customWidth="1"/>
    <col min="4" max="4" width="31.5703125" bestFit="1" customWidth="1"/>
    <col min="5" max="5" width="21.5703125" customWidth="1"/>
    <col min="6" max="6" width="9.5703125" bestFit="1" customWidth="1"/>
    <col min="7" max="7" width="17.42578125" bestFit="1" customWidth="1"/>
    <col min="19" max="19" width="49.140625" bestFit="1" customWidth="1"/>
    <col min="20" max="20" width="13.42578125" customWidth="1"/>
  </cols>
  <sheetData>
    <row r="1" spans="1:20" ht="15.75" thickBot="1" x14ac:dyDescent="0.3">
      <c r="A1" s="14" t="s">
        <v>302</v>
      </c>
      <c r="B1" s="15" t="s">
        <v>355</v>
      </c>
      <c r="C1" t="s">
        <v>303</v>
      </c>
      <c r="E1" t="s">
        <v>390</v>
      </c>
    </row>
    <row r="2" spans="1:20" ht="15.75" thickBot="1" x14ac:dyDescent="0.3">
      <c r="A2" s="14" t="s">
        <v>304</v>
      </c>
      <c r="B2" s="15" t="s">
        <v>357</v>
      </c>
      <c r="C2" t="s">
        <v>303</v>
      </c>
    </row>
    <row r="3" spans="1:20" ht="15.75" thickBot="1" x14ac:dyDescent="0.3">
      <c r="A3" s="14" t="s">
        <v>305</v>
      </c>
      <c r="B3" s="15">
        <v>11</v>
      </c>
      <c r="C3" t="s">
        <v>303</v>
      </c>
    </row>
    <row r="4" spans="1:20" ht="15.75" thickBot="1" x14ac:dyDescent="0.3">
      <c r="A4" s="9" t="s">
        <v>306</v>
      </c>
      <c r="B4" s="15" t="s">
        <v>389</v>
      </c>
      <c r="C4" t="s">
        <v>303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ht="15.75" thickBot="1" x14ac:dyDescent="0.3">
      <c r="A5" s="9" t="s">
        <v>307</v>
      </c>
      <c r="B5" s="16"/>
      <c r="C5" t="s">
        <v>303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ht="15.75" thickBot="1" x14ac:dyDescent="0.3">
      <c r="A6" s="9" t="s">
        <v>308</v>
      </c>
      <c r="B6" s="16">
        <v>14</v>
      </c>
      <c r="C6" t="s">
        <v>303</v>
      </c>
      <c r="D6" s="17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 ht="15.75" thickBot="1" x14ac:dyDescent="0.3">
      <c r="A7" s="9" t="s">
        <v>309</v>
      </c>
      <c r="B7" s="16">
        <v>31</v>
      </c>
      <c r="C7" t="s">
        <v>303</v>
      </c>
      <c r="D7" s="17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 ht="15.75" thickBot="1" x14ac:dyDescent="0.3">
      <c r="A8" s="9" t="s">
        <v>310</v>
      </c>
      <c r="B8" s="16" t="s">
        <v>356</v>
      </c>
      <c r="C8" t="s">
        <v>303</v>
      </c>
      <c r="D8" s="17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s="3" customFormat="1" x14ac:dyDescent="0.25">
      <c r="A9" s="2" t="s">
        <v>0</v>
      </c>
      <c r="B9" s="2" t="s">
        <v>1</v>
      </c>
      <c r="C9" s="2" t="s">
        <v>2</v>
      </c>
      <c r="D9" s="1" t="s">
        <v>3</v>
      </c>
      <c r="E9" s="1" t="s">
        <v>4</v>
      </c>
      <c r="F9" s="1" t="s">
        <v>5</v>
      </c>
      <c r="G9" s="1" t="s">
        <v>6</v>
      </c>
      <c r="H9" s="1" t="s">
        <v>7</v>
      </c>
      <c r="I9" s="1" t="s">
        <v>8</v>
      </c>
      <c r="J9" s="1" t="s">
        <v>9</v>
      </c>
      <c r="K9" s="1" t="s">
        <v>10</v>
      </c>
      <c r="L9" s="1" t="s">
        <v>11</v>
      </c>
      <c r="M9" s="1" t="s">
        <v>12</v>
      </c>
      <c r="N9" s="1" t="s">
        <v>13</v>
      </c>
      <c r="O9" s="1" t="s">
        <v>14</v>
      </c>
      <c r="P9" s="1" t="s">
        <v>15</v>
      </c>
      <c r="Q9" s="1" t="s">
        <v>16</v>
      </c>
      <c r="R9" s="1" t="s">
        <v>17</v>
      </c>
      <c r="S9" s="1" t="s">
        <v>18</v>
      </c>
      <c r="T9" s="1" t="s">
        <v>19</v>
      </c>
    </row>
    <row r="10" spans="1:20" x14ac:dyDescent="0.25">
      <c r="A10" s="18">
        <v>437181</v>
      </c>
      <c r="B10" s="19">
        <f xml:space="preserve"> IF(B1="A1",0,1)</f>
        <v>1</v>
      </c>
      <c r="C10" s="20">
        <v>1</v>
      </c>
      <c r="D10" s="21" t="str">
        <f>"."&amp;B1&amp;".Panel"</f>
        <v>.A2.Panel</v>
      </c>
      <c r="E10" s="22">
        <f>A10+(B10*C10)</f>
        <v>437182</v>
      </c>
      <c r="F10" s="11" t="s">
        <v>21</v>
      </c>
      <c r="G10" s="11">
        <v>1</v>
      </c>
      <c r="H10" s="11" t="s">
        <v>117</v>
      </c>
      <c r="I10" s="11">
        <v>300</v>
      </c>
      <c r="S10" t="str">
        <f>B1&amp;" "&amp;B4</f>
        <v>A2 BMXNOE0100</v>
      </c>
    </row>
    <row r="11" spans="1:20" x14ac:dyDescent="0.25">
      <c r="A11" s="23"/>
      <c r="B11" s="24"/>
      <c r="C11" s="24"/>
      <c r="D11" s="25" t="str">
        <f>"."&amp;B1&amp;".M"&amp;B3&amp;".Module"</f>
        <v>.A2.M11.Module</v>
      </c>
      <c r="E11" s="26" t="str">
        <f>A10+(B10*C10)&amp;"."&amp; 16-B3</f>
        <v>437182.5</v>
      </c>
      <c r="F11" s="11" t="s">
        <v>26</v>
      </c>
      <c r="G11" s="11">
        <v>1</v>
      </c>
      <c r="H11" s="11" t="s">
        <v>117</v>
      </c>
      <c r="I11" s="11">
        <v>300</v>
      </c>
      <c r="S11" t="str">
        <f>B2&amp;" "&amp;B4</f>
        <v>A2.11 BMXNOE0100</v>
      </c>
    </row>
    <row r="12" spans="1:20" x14ac:dyDescent="0.25">
      <c r="A12" s="27">
        <v>437270</v>
      </c>
      <c r="B12" s="19">
        <f xml:space="preserve"> IF(B1="A1",0,1)</f>
        <v>1</v>
      </c>
      <c r="C12" s="20">
        <v>8</v>
      </c>
      <c r="D12" s="28" t="str">
        <f>"."&amp;B1&amp;".M"&amp;B3&amp;".Link.1"</f>
        <v>.A2.M11.Link.1</v>
      </c>
      <c r="E12" s="22" t="str">
        <f>IF(MOD(B3,2),ROUNDUP(A12+(B12*C12)+(B3/2)-1,0)&amp;".0",ROUNDUP(A12++(B12*C12)+(B3/2)-1,0)&amp;".8")</f>
        <v>437283.0</v>
      </c>
      <c r="F12" s="11" t="s">
        <v>26</v>
      </c>
      <c r="G12" s="11">
        <v>1</v>
      </c>
      <c r="H12" s="11" t="s">
        <v>117</v>
      </c>
      <c r="I12" s="11">
        <v>300</v>
      </c>
      <c r="S12" s="29" t="s">
        <v>311</v>
      </c>
    </row>
    <row r="13" spans="1:20" x14ac:dyDescent="0.25">
      <c r="A13" s="23"/>
      <c r="B13" s="24"/>
      <c r="C13" s="24"/>
      <c r="D13" s="30" t="str">
        <f>"."&amp;B1&amp;".M"&amp;B3&amp;".Link.2"</f>
        <v>.A2.M11.Link.2</v>
      </c>
      <c r="E13" s="31" t="str">
        <f>IF(MOD(B3,2),ROUNDUP(A12+(B12*C12)+(B3/2)-1,0)&amp;".1",ROUNDUP(A12+(B12*C12)+(B3/2)-1,0)&amp;".9")</f>
        <v>437283.1</v>
      </c>
      <c r="F13" s="11" t="s">
        <v>26</v>
      </c>
      <c r="G13" s="11">
        <v>1</v>
      </c>
      <c r="H13" s="11" t="s">
        <v>117</v>
      </c>
      <c r="I13" s="11">
        <v>300</v>
      </c>
      <c r="S13" s="29" t="s">
        <v>312</v>
      </c>
    </row>
    <row r="14" spans="1:20" x14ac:dyDescent="0.25">
      <c r="A14" s="23"/>
      <c r="B14" s="24"/>
      <c r="C14" s="24"/>
      <c r="D14" s="30" t="str">
        <f>"."&amp;B1&amp;".M"&amp;B3&amp;".Link.3"</f>
        <v>.A2.M11.Link.3</v>
      </c>
      <c r="E14" s="31" t="str">
        <f>IF(MOD(B3,2),ROUNDUP(A12+(B12*C12)+(B3/2)-1,0)&amp;".2",ROUNDUP(A12+(B12*C12)+(B3/2)-1,0)&amp;".10")</f>
        <v>437283.2</v>
      </c>
      <c r="F14" s="11" t="s">
        <v>26</v>
      </c>
      <c r="G14" s="32">
        <v>2</v>
      </c>
      <c r="H14" s="11" t="s">
        <v>117</v>
      </c>
      <c r="I14" s="11">
        <v>300</v>
      </c>
      <c r="S14" s="29" t="s">
        <v>313</v>
      </c>
    </row>
    <row r="15" spans="1:20" x14ac:dyDescent="0.25">
      <c r="A15" s="23"/>
      <c r="B15" s="24"/>
      <c r="C15" s="24"/>
      <c r="D15" s="30" t="str">
        <f>"."&amp;B1&amp;".M"&amp;B3&amp;".Link.4"</f>
        <v>.A2.M11.Link.4</v>
      </c>
      <c r="E15" s="31" t="str">
        <f>IF(MOD(B3,2),ROUNDUP(A12+(B12*C12)+(B3/2)-1,0)&amp;".3",ROUNDUP(A12+(B12*C12)+(B3/2)-1,0)&amp;".11")</f>
        <v>437283.3</v>
      </c>
      <c r="F15" s="11" t="s">
        <v>26</v>
      </c>
      <c r="G15" s="11">
        <v>1</v>
      </c>
      <c r="H15" s="11" t="s">
        <v>117</v>
      </c>
      <c r="I15" s="11">
        <v>300</v>
      </c>
      <c r="S15" s="29" t="s">
        <v>314</v>
      </c>
    </row>
    <row r="16" spans="1:20" x14ac:dyDescent="0.25">
      <c r="A16" s="33">
        <v>437344</v>
      </c>
      <c r="B16" s="34">
        <f xml:space="preserve"> IF(B1="A1",0,1)</f>
        <v>1</v>
      </c>
      <c r="C16" s="35">
        <v>2</v>
      </c>
      <c r="D16" s="36" t="str">
        <f>"."&amp;B1&amp;".M"&amp;B3&amp;".Link.IP"</f>
        <v>.A2.M11.Link.IP</v>
      </c>
      <c r="E16" s="37">
        <f>IF(B1="A1",A16+(B16*C16),A16+(B16*C16))</f>
        <v>437346</v>
      </c>
      <c r="F16" t="s">
        <v>315</v>
      </c>
      <c r="G16" s="11">
        <v>1</v>
      </c>
      <c r="H16" s="11" t="s">
        <v>117</v>
      </c>
      <c r="I16" s="11">
        <v>300</v>
      </c>
      <c r="S16" t="s">
        <v>316</v>
      </c>
    </row>
    <row r="17" spans="1:19" x14ac:dyDescent="0.25">
      <c r="A17" s="23"/>
      <c r="B17" s="38"/>
      <c r="C17" s="39"/>
      <c r="D17" s="40" t="str">
        <f>"."&amp;B1&amp;".M"&amp;B3&amp;".Link.1"</f>
        <v>.A2.M11.Link.1</v>
      </c>
      <c r="E17" s="41" t="str">
        <f>IF(MOD(B3,2),ROUNDUP(A12+(B12*C12)+(B3/2)-1,0)&amp;".0",ROUNDUP(A12+(B12*C12)+(B3/2)-1,0)&amp;".8")</f>
        <v>437283.0</v>
      </c>
      <c r="F17" s="11" t="s">
        <v>26</v>
      </c>
      <c r="G17" s="11">
        <v>1</v>
      </c>
      <c r="H17" s="11" t="s">
        <v>117</v>
      </c>
      <c r="I17" s="11">
        <v>300</v>
      </c>
      <c r="S17" s="29" t="s">
        <v>311</v>
      </c>
    </row>
    <row r="18" spans="1:19" x14ac:dyDescent="0.25">
      <c r="A18" s="23"/>
      <c r="B18" s="24"/>
      <c r="C18" s="24"/>
      <c r="D18" s="42" t="str">
        <f>"."&amp;B1&amp;".M"&amp;B3&amp;".Link.Appl"</f>
        <v>.A2.M11.Link.Appl</v>
      </c>
      <c r="E18" s="41" t="str">
        <f>IF(MOD(B3,2),ROUNDUP(A12+(B12*C12)+(B3/2)-1,0)&amp;".7",ROUNDUP(A12+(B12*C12)+(B3/2)-1,0)&amp;".15")</f>
        <v>437283.7</v>
      </c>
      <c r="F18" s="11" t="s">
        <v>26</v>
      </c>
      <c r="G18" s="11">
        <v>1</v>
      </c>
      <c r="H18" s="11" t="s">
        <v>117</v>
      </c>
      <c r="I18" s="11">
        <v>300</v>
      </c>
      <c r="S18" s="29" t="s">
        <v>317</v>
      </c>
    </row>
    <row r="19" spans="1:19" x14ac:dyDescent="0.25">
      <c r="A19" s="79"/>
      <c r="B19" s="24"/>
      <c r="C19" s="24"/>
      <c r="D19" s="42" t="str">
        <f>"."&amp;B1&amp;".M"&amp;B3&amp;".Link.Cfg"</f>
        <v>.A2.M11.Link.Cfg</v>
      </c>
      <c r="E19" s="41" t="str">
        <f>IF(MOD(B3,2),ROUNDUP(A12+(B12*C12)+(B3/2)-1,0)&amp;".6",ROUNDUP(A12+(B12*C12)+(B3/2)-1,0)&amp;".14")</f>
        <v>437283.6</v>
      </c>
      <c r="F19" s="11" t="s">
        <v>26</v>
      </c>
      <c r="G19" s="11">
        <v>1</v>
      </c>
      <c r="H19" s="11" t="s">
        <v>117</v>
      </c>
      <c r="I19" s="11">
        <v>300</v>
      </c>
      <c r="S19" s="29" t="s">
        <v>318</v>
      </c>
    </row>
    <row r="20" spans="1:19" x14ac:dyDescent="0.25">
      <c r="A20" s="33">
        <v>437348</v>
      </c>
      <c r="B20" s="34">
        <f xml:space="preserve"> IF(B1="A1",0,1)</f>
        <v>1</v>
      </c>
      <c r="C20" s="35">
        <v>12</v>
      </c>
      <c r="D20" s="43" t="str">
        <f>"."&amp;B1&amp;".M"&amp;B3&amp;".Link.IP"</f>
        <v>.A2.M11.Link.IP</v>
      </c>
      <c r="E20" s="44">
        <f>IF(B1="A1",A20+(B20*C20)+(B5*2-2),A20+(B20*C20)+(B5*2-2))</f>
        <v>437358</v>
      </c>
      <c r="F20" t="s">
        <v>315</v>
      </c>
      <c r="G20" s="11">
        <v>1</v>
      </c>
      <c r="H20" s="11" t="s">
        <v>117</v>
      </c>
      <c r="I20" s="11">
        <v>300</v>
      </c>
      <c r="S20" t="s">
        <v>316</v>
      </c>
    </row>
    <row r="21" spans="1:19" x14ac:dyDescent="0.25">
      <c r="A21" s="45"/>
      <c r="B21" s="46"/>
      <c r="C21" s="46"/>
      <c r="D21" s="47" t="str">
        <f>"."&amp;B1&amp;".M"&amp;B3&amp;".Link.Run"</f>
        <v>.A2.M11.Link.Run</v>
      </c>
      <c r="E21" s="48" t="str">
        <f>IF(MOD(B3,2),ROUNDUP(A12+(B12*C12)+(B3/2)-1,0)&amp;".5",ROUNDUP(A12+(B12*C12)+(B3/2)-1,0)&amp;".13")</f>
        <v>437283.5</v>
      </c>
      <c r="F21" s="11" t="s">
        <v>26</v>
      </c>
      <c r="G21" s="11">
        <v>1</v>
      </c>
      <c r="H21" s="11" t="s">
        <v>117</v>
      </c>
      <c r="I21" s="11">
        <v>300</v>
      </c>
      <c r="S21" s="29" t="s">
        <v>319</v>
      </c>
    </row>
    <row r="22" spans="1:19" x14ac:dyDescent="0.25">
      <c r="A22" s="49">
        <v>437178</v>
      </c>
      <c r="B22" s="50"/>
      <c r="C22" s="50"/>
      <c r="D22" s="50" t="str">
        <f>"."&amp;B1&amp;".PLC.LogicMismatch"</f>
        <v>.A2.PLC.LogicMismatch</v>
      </c>
      <c r="E22" s="51" t="str">
        <f>IF(B1="A1",A22&amp;".4",A22+2&amp;".4")</f>
        <v>437180.4</v>
      </c>
      <c r="F22" s="11" t="s">
        <v>26</v>
      </c>
      <c r="G22" s="11">
        <v>1</v>
      </c>
      <c r="H22" s="11" t="s">
        <v>117</v>
      </c>
      <c r="I22" s="11">
        <v>300</v>
      </c>
      <c r="S22" t="s">
        <v>320</v>
      </c>
    </row>
    <row r="23" spans="1:19" x14ac:dyDescent="0.25">
      <c r="A23" s="23"/>
      <c r="B23" s="24"/>
      <c r="C23" s="24"/>
      <c r="D23" s="52" t="str">
        <f>"."&amp;B1&amp;".PLC.PLC_B"</f>
        <v>.A2.PLC.PLC_B</v>
      </c>
      <c r="E23" s="53" t="str">
        <f>IF(B1="A1",A22&amp;".5",A22+2&amp;".5")</f>
        <v>437180.5</v>
      </c>
      <c r="F23" s="11" t="s">
        <v>26</v>
      </c>
      <c r="G23" s="11">
        <v>1</v>
      </c>
      <c r="H23" s="11" t="s">
        <v>117</v>
      </c>
      <c r="I23" s="11">
        <v>300</v>
      </c>
      <c r="S23" t="s">
        <v>321</v>
      </c>
    </row>
    <row r="24" spans="1:19" x14ac:dyDescent="0.25">
      <c r="A24" s="23"/>
      <c r="B24" s="24"/>
      <c r="C24" s="24"/>
      <c r="D24" s="52" t="str">
        <f>"."&amp;B1&amp;".PLC.PLCBAT"</f>
        <v>.A2.PLC.PLCBAT</v>
      </c>
      <c r="E24" s="53" t="str">
        <f>IF(B1="A1",A22-1&amp;".4",A22-1+2&amp;".4")</f>
        <v>437179.4</v>
      </c>
      <c r="F24" s="11" t="s">
        <v>26</v>
      </c>
      <c r="G24" s="11">
        <v>1</v>
      </c>
      <c r="H24" s="11" t="s">
        <v>117</v>
      </c>
      <c r="I24" s="11">
        <v>300</v>
      </c>
      <c r="S24" t="s">
        <v>322</v>
      </c>
    </row>
    <row r="25" spans="1:19" x14ac:dyDescent="0.25">
      <c r="A25" s="23"/>
      <c r="B25" s="24"/>
      <c r="C25" s="24"/>
      <c r="D25" s="52" t="str">
        <f>"."&amp;B1&amp;".PLC.PLCopMode_b0"</f>
        <v>.A2.PLC.PLCopMode_b0</v>
      </c>
      <c r="E25" s="53" t="str">
        <f>IF(B1="A1",A22&amp;".0",A22+2&amp;".0")</f>
        <v>437180.0</v>
      </c>
      <c r="F25" s="11" t="s">
        <v>26</v>
      </c>
      <c r="G25" s="11">
        <v>1</v>
      </c>
      <c r="H25" s="11" t="s">
        <v>117</v>
      </c>
      <c r="I25" s="11">
        <v>300</v>
      </c>
      <c r="S25" t="s">
        <v>323</v>
      </c>
    </row>
    <row r="26" spans="1:19" x14ac:dyDescent="0.25">
      <c r="A26" s="45"/>
      <c r="B26" s="46"/>
      <c r="C26" s="46"/>
      <c r="D26" s="54" t="str">
        <f>"."&amp;B1&amp;".PLC.PLCopMode_b1"</f>
        <v>.A2.PLC.PLCopMode_b1</v>
      </c>
      <c r="E26" s="55" t="str">
        <f>IF(B1="A1",A22&amp;".1",A22+2&amp;".1")</f>
        <v>437180.1</v>
      </c>
      <c r="F26" s="11" t="s">
        <v>26</v>
      </c>
      <c r="G26" s="11">
        <v>1</v>
      </c>
      <c r="H26" s="11" t="s">
        <v>117</v>
      </c>
      <c r="I26" s="11">
        <v>300</v>
      </c>
      <c r="S26" t="s">
        <v>324</v>
      </c>
    </row>
    <row r="27" spans="1:19" x14ac:dyDescent="0.25">
      <c r="A27" s="56">
        <v>437183</v>
      </c>
      <c r="B27" s="57">
        <f xml:space="preserve"> IF(B1="A3",0,1)</f>
        <v>1</v>
      </c>
      <c r="C27" s="58">
        <v>1</v>
      </c>
      <c r="D27" s="59" t="str">
        <f>"."&amp;B1&amp;".Panel"</f>
        <v>.A2.Panel</v>
      </c>
      <c r="E27" s="60">
        <f>A27+(B27*C27)</f>
        <v>437184</v>
      </c>
      <c r="F27" s="11" t="s">
        <v>21</v>
      </c>
      <c r="G27" s="11">
        <v>1</v>
      </c>
      <c r="H27" s="11" t="s">
        <v>117</v>
      </c>
      <c r="I27" s="11">
        <v>300</v>
      </c>
      <c r="S27" t="str">
        <f>B1&amp;" "&amp;B4</f>
        <v>A2 BMXNOE0100</v>
      </c>
    </row>
    <row r="28" spans="1:19" x14ac:dyDescent="0.25">
      <c r="A28" s="23"/>
      <c r="B28" s="24"/>
      <c r="C28" s="24"/>
      <c r="D28" s="24" t="str">
        <f xml:space="preserve"> IF(B3="CPS","."&amp;B1&amp;"."&amp;B3&amp;".Module","."&amp;B1&amp;".M"&amp;B3&amp;".Module")</f>
        <v>.A2.M11.Module</v>
      </c>
      <c r="E28" s="26" t="str">
        <f>A27+(B27*C27)&amp;IF(B3="CPS",".0","."&amp;B3)</f>
        <v>437184.11</v>
      </c>
      <c r="F28" s="11" t="s">
        <v>26</v>
      </c>
      <c r="G28" s="11">
        <v>1</v>
      </c>
      <c r="H28" s="11" t="s">
        <v>117</v>
      </c>
      <c r="I28" s="11">
        <v>300</v>
      </c>
      <c r="S28" t="str">
        <f>B2&amp;" "&amp;B4</f>
        <v>A2.11 BMXNOE0100</v>
      </c>
    </row>
    <row r="29" spans="1:19" x14ac:dyDescent="0.25">
      <c r="A29" s="61">
        <v>437286</v>
      </c>
      <c r="B29" s="17">
        <f xml:space="preserve"> IF(B1="A3",0,1)</f>
        <v>1</v>
      </c>
      <c r="C29" s="62">
        <v>6</v>
      </c>
      <c r="D29" s="63" t="str">
        <f>"."&amp;B1&amp;".M"&amp;B3&amp;".Link.1"</f>
        <v>.A2.M11.Link.1</v>
      </c>
      <c r="E29" s="64" t="str">
        <f>IF(MOD(B3+2,2),A29+(B29*C29)+ROUNDDOWN(B3/2,0)&amp;".8",A29+(B29*C29)+ROUNDDOWN(B3/2,0)&amp;".0")</f>
        <v>437297.8</v>
      </c>
      <c r="F29" s="11" t="s">
        <v>26</v>
      </c>
      <c r="G29" s="11">
        <v>1</v>
      </c>
      <c r="H29" s="11" t="s">
        <v>117</v>
      </c>
      <c r="I29" s="11">
        <v>300</v>
      </c>
      <c r="S29" s="29" t="s">
        <v>311</v>
      </c>
    </row>
    <row r="30" spans="1:19" x14ac:dyDescent="0.25">
      <c r="A30" s="45"/>
      <c r="B30" s="46"/>
      <c r="C30" s="46"/>
      <c r="D30" s="63" t="str">
        <f>"."&amp;B1&amp;".M"&amp;B3&amp;".Link.2"</f>
        <v>.A2.M11.Link.2</v>
      </c>
      <c r="E30" s="65" t="str">
        <f>IF(MOD(B3+2,2),A29+(B29*C29)+ROUNDDOWN(B3/2,0)&amp;".9",A29+(B29*C29)+ROUNDDOWN(B3/2,0)&amp;".1")</f>
        <v>437297.9</v>
      </c>
      <c r="F30" s="11" t="s">
        <v>26</v>
      </c>
      <c r="G30" s="11">
        <v>1</v>
      </c>
      <c r="H30" s="11" t="s">
        <v>117</v>
      </c>
      <c r="I30" s="11">
        <v>300</v>
      </c>
      <c r="S30" s="29" t="s">
        <v>312</v>
      </c>
    </row>
    <row r="31" spans="1:19" x14ac:dyDescent="0.25">
      <c r="A31" s="66">
        <v>437185</v>
      </c>
      <c r="B31" s="57">
        <f xml:space="preserve"> IF(B1="A5",0,1)</f>
        <v>1</v>
      </c>
      <c r="C31" s="57">
        <v>1</v>
      </c>
      <c r="D31" s="59" t="str">
        <f>"."&amp;B1&amp;".Panel"</f>
        <v>.A2.Panel</v>
      </c>
      <c r="E31" s="60">
        <f>A31+(B31*C31)</f>
        <v>437186</v>
      </c>
      <c r="F31" s="11" t="s">
        <v>21</v>
      </c>
      <c r="G31" s="11">
        <v>1</v>
      </c>
      <c r="H31" s="11" t="s">
        <v>117</v>
      </c>
      <c r="I31" s="11">
        <v>300</v>
      </c>
      <c r="S31" t="str">
        <f>B1&amp;" "&amp;B4</f>
        <v>A2 BMXNOE0100</v>
      </c>
    </row>
    <row r="32" spans="1:19" x14ac:dyDescent="0.25">
      <c r="A32" s="23"/>
      <c r="B32" s="24"/>
      <c r="C32" s="24"/>
      <c r="D32" s="24" t="str">
        <f xml:space="preserve"> IF(B3="CPS","."&amp;B1&amp;"."&amp;B3&amp;".Module","."&amp;B1&amp;".M"&amp;B3&amp;".Module")</f>
        <v>.A2.M11.Module</v>
      </c>
      <c r="E32" s="64" t="str">
        <f>A31+(B31*C31)&amp;IF(B3="CPS",".0","."&amp;B3)</f>
        <v>437186.11</v>
      </c>
      <c r="F32" s="11" t="s">
        <v>26</v>
      </c>
      <c r="G32" s="11">
        <v>1</v>
      </c>
      <c r="H32" s="11" t="s">
        <v>117</v>
      </c>
      <c r="I32" s="11">
        <v>300</v>
      </c>
      <c r="S32" t="str">
        <f>B2&amp;" "&amp;B4</f>
        <v>A2.11 BMXNOE0100</v>
      </c>
    </row>
    <row r="33" spans="1:20" x14ac:dyDescent="0.25">
      <c r="A33" s="67">
        <v>437298</v>
      </c>
      <c r="B33" s="68">
        <f xml:space="preserve"> IF(B1="A5",0,1)</f>
        <v>1</v>
      </c>
      <c r="C33" s="68">
        <v>6</v>
      </c>
      <c r="D33" s="46" t="str">
        <f>"."&amp;B1&amp;".M"&amp;B3&amp;".Link.1"</f>
        <v>.A2.M11.Link.1</v>
      </c>
      <c r="E33" s="65" t="str">
        <f>IF(MOD(B3+2,2),A33+(B33*C33)+ROUNDDOWN(B3/2,0)&amp;".8",A33+(B33*C33)+ROUNDDOWN(B3/2,0)&amp;".0")</f>
        <v>437309.8</v>
      </c>
      <c r="F33" s="11" t="s">
        <v>26</v>
      </c>
      <c r="G33" s="11">
        <v>1</v>
      </c>
      <c r="H33" s="11" t="s">
        <v>117</v>
      </c>
      <c r="I33" s="11">
        <v>300</v>
      </c>
      <c r="S33" s="29" t="s">
        <v>311</v>
      </c>
    </row>
    <row r="34" spans="1:20" x14ac:dyDescent="0.25">
      <c r="A34" s="66">
        <v>437204</v>
      </c>
      <c r="B34" s="57"/>
      <c r="C34" s="57"/>
      <c r="D34" s="59" t="str">
        <f>"."&amp;B1&amp;".Panel"</f>
        <v>.A2.Panel</v>
      </c>
      <c r="E34" s="60">
        <f>B6+A34</f>
        <v>437218</v>
      </c>
      <c r="F34" s="11" t="s">
        <v>21</v>
      </c>
      <c r="G34" s="11">
        <v>1</v>
      </c>
      <c r="H34" s="11" t="s">
        <v>117</v>
      </c>
      <c r="I34" s="11">
        <v>300</v>
      </c>
      <c r="S34" t="str">
        <f>B1&amp;" "&amp;B4</f>
        <v>A2 BMXNOE0100</v>
      </c>
    </row>
    <row r="35" spans="1:20" x14ac:dyDescent="0.25">
      <c r="A35" s="23"/>
      <c r="B35" s="24"/>
      <c r="C35" s="24"/>
      <c r="D35" s="24" t="str">
        <f xml:space="preserve"> IF(B3="CPS","."&amp;B1&amp;"."&amp;B3&amp;".Module","."&amp;B1&amp;".M"&amp;B3&amp;".Module")</f>
        <v>.A2.M11.Module</v>
      </c>
      <c r="E35" s="98" t="str">
        <f>E34&amp;IF(B3="CPS",".15","."&amp;15-B3)</f>
        <v>437218.4</v>
      </c>
      <c r="F35" s="11" t="s">
        <v>26</v>
      </c>
      <c r="G35" s="11">
        <v>1</v>
      </c>
      <c r="H35" s="11" t="s">
        <v>117</v>
      </c>
      <c r="I35" s="11">
        <v>300</v>
      </c>
      <c r="S35" t="str">
        <f>B2&amp;" "&amp;B4</f>
        <v>A2.11 BMXNOE0100</v>
      </c>
    </row>
    <row r="36" spans="1:20" x14ac:dyDescent="0.25">
      <c r="A36" s="69">
        <v>437310</v>
      </c>
      <c r="B36" s="17"/>
      <c r="C36" s="24"/>
      <c r="D36" s="70" t="str">
        <f>"."&amp;B1&amp;".M"&amp;B3&amp;".Link.1"</f>
        <v>.A2.M11.Link.1</v>
      </c>
      <c r="E36" s="71" t="str">
        <f>A36+ ROUNDDOWN(B6/2,0)&amp;IF(MOD(B6,2),".8",".0")</f>
        <v>437317.0</v>
      </c>
      <c r="F36" s="11" t="s">
        <v>26</v>
      </c>
      <c r="G36" s="11">
        <v>1</v>
      </c>
      <c r="H36" s="11" t="s">
        <v>117</v>
      </c>
      <c r="I36" s="11">
        <v>300</v>
      </c>
      <c r="S36" s="29" t="s">
        <v>325</v>
      </c>
    </row>
    <row r="37" spans="1:20" x14ac:dyDescent="0.25">
      <c r="A37" s="23"/>
      <c r="B37" s="24"/>
      <c r="C37" s="24"/>
      <c r="D37" s="72" t="str">
        <f>"."&amp;B1&amp;".M"&amp;B3&amp;".Link.2"</f>
        <v>.A2.M11.Link.2</v>
      </c>
      <c r="E37" s="64" t="str">
        <f>A36+ ROUNDDOWN(B6/2,0)&amp;IF(MOD(B6,2),".9",".1")</f>
        <v>437317.1</v>
      </c>
      <c r="F37" s="11" t="s">
        <v>26</v>
      </c>
      <c r="G37" s="11">
        <v>1</v>
      </c>
      <c r="H37" s="11" t="s">
        <v>117</v>
      </c>
      <c r="I37" s="11">
        <v>300</v>
      </c>
      <c r="S37" s="29" t="s">
        <v>326</v>
      </c>
    </row>
    <row r="38" spans="1:20" x14ac:dyDescent="0.25">
      <c r="A38" s="23"/>
      <c r="B38" s="24"/>
      <c r="C38" s="24"/>
      <c r="D38" s="72" t="str">
        <f>"."&amp;B1&amp;".M"&amp;B3&amp;".Link.3"</f>
        <v>.A2.M11.Link.3</v>
      </c>
      <c r="E38" s="64" t="str">
        <f>A36+ ROUNDDOWN(B6/2,0)&amp;IF(MOD(B6,2),".10",".2")</f>
        <v>437317.2</v>
      </c>
      <c r="F38" s="11" t="s">
        <v>26</v>
      </c>
      <c r="G38" s="11">
        <v>1</v>
      </c>
      <c r="H38" s="11" t="s">
        <v>117</v>
      </c>
      <c r="I38" s="11">
        <v>300</v>
      </c>
      <c r="S38" s="29" t="s">
        <v>327</v>
      </c>
    </row>
    <row r="39" spans="1:20" x14ac:dyDescent="0.25">
      <c r="A39" s="23"/>
      <c r="B39" s="24"/>
      <c r="C39" s="24"/>
      <c r="D39" s="70" t="str">
        <f>"."&amp;B1&amp;".M"&amp;B3&amp;".Link.0"</f>
        <v>.A2.M11.Link.0</v>
      </c>
      <c r="E39" s="64" t="str">
        <f>A36+ ROUNDDOWN(B6/2,0)&amp;IF(MOD(B6,2),"."&amp;12+((B5*2)-2),"."&amp; 4+((B5*2)-2))</f>
        <v>437317.2</v>
      </c>
      <c r="F39" s="11" t="s">
        <v>26</v>
      </c>
      <c r="G39" s="11">
        <v>1</v>
      </c>
      <c r="H39" s="11" t="s">
        <v>117</v>
      </c>
      <c r="I39" s="11">
        <v>300</v>
      </c>
      <c r="S39" s="29" t="str">
        <f xml:space="preserve"> "=1 - есть связь по порту 0 NOM " &amp; B5</f>
        <v xml:space="preserve">=1 - есть связь по порту 0 NOM </v>
      </c>
    </row>
    <row r="40" spans="1:20" x14ac:dyDescent="0.25">
      <c r="A40" s="23"/>
      <c r="B40" s="24"/>
      <c r="C40" s="24"/>
      <c r="D40" s="73" t="str">
        <f>"."&amp;B1&amp;".M"&amp;B3&amp;".Link.1"</f>
        <v>.A2.M11.Link.1</v>
      </c>
      <c r="E40" s="64" t="str">
        <f>A36+ ROUNDDOWN(B6/2,0)&amp;IF(MOD(B6,2),"."&amp; 13+((B5*2)-2),"."&amp; 5+((B5*2)-2))</f>
        <v>437317.3</v>
      </c>
      <c r="F40" s="11" t="s">
        <v>26</v>
      </c>
      <c r="G40" s="11">
        <v>1</v>
      </c>
      <c r="H40" s="11" t="s">
        <v>117</v>
      </c>
      <c r="I40" s="11">
        <v>300</v>
      </c>
      <c r="S40" s="29" t="str">
        <f xml:space="preserve"> "=1 - есть связь по порту 1 NOM " &amp; B5</f>
        <v xml:space="preserve">=1 - есть связь по порту 1 NOM </v>
      </c>
    </row>
    <row r="41" spans="1:20" x14ac:dyDescent="0.25">
      <c r="A41" s="74">
        <v>437855</v>
      </c>
      <c r="B41" s="75">
        <f>B5</f>
        <v>0</v>
      </c>
      <c r="C41" s="76">
        <v>8</v>
      </c>
      <c r="D41" s="77" t="str">
        <f>"."&amp;B1&amp;".M"&amp;B3&amp;"."&amp;B7</f>
        <v>.A2.M11.31</v>
      </c>
      <c r="E41" s="64">
        <f>(A41+B7)+(B41*C41)-8</f>
        <v>437878</v>
      </c>
      <c r="F41" t="s">
        <v>295</v>
      </c>
      <c r="G41" s="11">
        <v>1</v>
      </c>
      <c r="H41" s="11" t="s">
        <v>117</v>
      </c>
      <c r="I41" s="11">
        <v>300</v>
      </c>
      <c r="S41" t="str">
        <f>B7&amp;". "&amp;B8</f>
        <v xml:space="preserve">31.  </v>
      </c>
    </row>
    <row r="42" spans="1:20" x14ac:dyDescent="0.25">
      <c r="A42" s="74">
        <v>437615</v>
      </c>
      <c r="B42" s="76">
        <f>B5</f>
        <v>0</v>
      </c>
      <c r="C42" s="76">
        <v>2</v>
      </c>
      <c r="D42" s="78" t="str">
        <f>"."&amp;B1&amp;".M"&amp;B3&amp;"."&amp;B7</f>
        <v>.A2.M11.31</v>
      </c>
      <c r="E42" s="64" t="str">
        <f>IF(B7&lt;16,A42+(B42*C42)-2&amp;"."&amp;B7,A42+(B42*C42)-2+1&amp;"."&amp;B7-16)</f>
        <v>437614.15</v>
      </c>
      <c r="F42" s="11" t="s">
        <v>26</v>
      </c>
      <c r="G42" s="11">
        <v>1</v>
      </c>
      <c r="H42" s="11" t="s">
        <v>117</v>
      </c>
      <c r="I42" s="11">
        <v>300</v>
      </c>
      <c r="S42" t="str">
        <f>B7&amp;". "&amp;B8</f>
        <v xml:space="preserve">31.  </v>
      </c>
    </row>
    <row r="43" spans="1:20" x14ac:dyDescent="0.25">
      <c r="A43" s="74">
        <v>437775</v>
      </c>
      <c r="B43" s="76">
        <f>B5</f>
        <v>0</v>
      </c>
      <c r="C43" s="76">
        <v>2</v>
      </c>
      <c r="D43" s="78" t="str">
        <f>"."&amp;B1&amp;".M"&amp;B3&amp;"."&amp;B7</f>
        <v>.A2.M11.31</v>
      </c>
      <c r="E43" s="65" t="str">
        <f>IF(B7&lt;16,A43+(B43*C43)-2&amp;"."&amp;B7,A43+(B43*C43)-2+1&amp;"."&amp;B7-16)</f>
        <v>437774.15</v>
      </c>
      <c r="F43" s="11" t="s">
        <v>26</v>
      </c>
      <c r="G43" s="11">
        <v>1</v>
      </c>
      <c r="H43" s="11" t="s">
        <v>117</v>
      </c>
      <c r="I43" s="11">
        <v>300</v>
      </c>
      <c r="S43" t="str">
        <f>B7&amp;". "&amp;B8</f>
        <v xml:space="preserve">31.  </v>
      </c>
    </row>
    <row r="44" spans="1:20" x14ac:dyDescent="0.25">
      <c r="A44" s="74">
        <v>438495</v>
      </c>
      <c r="B44" s="76">
        <f>B5</f>
        <v>0</v>
      </c>
      <c r="C44" s="76">
        <v>4</v>
      </c>
      <c r="D44" s="92" t="str">
        <f>"."&amp;B1&amp;".M"&amp;B3&amp;"."&amp;B7</f>
        <v>.A2.M11.31</v>
      </c>
      <c r="E44" s="15">
        <f>(A44+B7)+(B44*C44)-8</f>
        <v>438518</v>
      </c>
      <c r="F44" t="s">
        <v>295</v>
      </c>
      <c r="G44" s="11">
        <v>1</v>
      </c>
      <c r="H44" s="11" t="s">
        <v>117</v>
      </c>
      <c r="I44" s="11">
        <v>300</v>
      </c>
      <c r="S44" t="str">
        <f>B7&amp;". "&amp;B8</f>
        <v xml:space="preserve">31.  </v>
      </c>
    </row>
    <row r="45" spans="1:20" x14ac:dyDescent="0.25">
      <c r="A45" s="122" t="s">
        <v>329</v>
      </c>
      <c r="B45" s="123"/>
      <c r="C45" s="123"/>
      <c r="D45" s="123"/>
      <c r="E45" s="123"/>
      <c r="F45" s="123"/>
      <c r="G45" s="123"/>
      <c r="H45" s="123"/>
      <c r="I45" s="123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</row>
    <row r="46" spans="1:20" x14ac:dyDescent="0.25">
      <c r="A46" s="18">
        <v>437426</v>
      </c>
      <c r="B46" s="19">
        <f xml:space="preserve"> IF(B1="A1",0,1)</f>
        <v>1</v>
      </c>
      <c r="C46" s="20">
        <v>1</v>
      </c>
      <c r="D46" s="21" t="str">
        <f>"."&amp;B1&amp;".Panel"</f>
        <v>.A2.Panel</v>
      </c>
      <c r="E46" s="22">
        <f>A46+(B46*C46)</f>
        <v>437427</v>
      </c>
      <c r="F46" s="11" t="s">
        <v>21</v>
      </c>
      <c r="G46" s="11">
        <v>1</v>
      </c>
      <c r="H46" s="11" t="s">
        <v>117</v>
      </c>
      <c r="I46" s="11">
        <v>300</v>
      </c>
      <c r="S46" t="str">
        <f>B1&amp;" "&amp;B4</f>
        <v>A2 BMXNOE0100</v>
      </c>
    </row>
    <row r="47" spans="1:20" x14ac:dyDescent="0.25">
      <c r="A47" s="23"/>
      <c r="B47" s="24"/>
      <c r="C47" s="24"/>
      <c r="D47" s="25" t="str">
        <f>"."&amp;B1&amp;".M"&amp;B3&amp;".Module"</f>
        <v>.A2.M11.Module</v>
      </c>
      <c r="E47" s="26" t="str">
        <f>A46+(B46*C46)&amp;"."&amp; 16-B3</f>
        <v>437427.5</v>
      </c>
      <c r="F47" s="11" t="s">
        <v>26</v>
      </c>
      <c r="G47" s="11">
        <v>1</v>
      </c>
      <c r="H47" s="11" t="s">
        <v>117</v>
      </c>
      <c r="I47" s="11">
        <v>300</v>
      </c>
      <c r="S47" t="str">
        <f>B2&amp;" "&amp;B4</f>
        <v>A2.11 BMXNOE0100</v>
      </c>
    </row>
    <row r="48" spans="1:20" x14ac:dyDescent="0.25">
      <c r="A48" s="27">
        <v>437436</v>
      </c>
      <c r="B48" s="19">
        <f xml:space="preserve"> IF(B1="A1",0,1)</f>
        <v>1</v>
      </c>
      <c r="C48" s="20">
        <v>8</v>
      </c>
      <c r="D48" s="28" t="str">
        <f>"."&amp;B1&amp;".M"&amp;B3&amp;".Link.1"</f>
        <v>.A2.M11.Link.1</v>
      </c>
      <c r="E48" s="22" t="str">
        <f>IF(MOD(B3,2),ROUNDUP(A48+(B48*C48)+(B3/2)-1,0)&amp;".0",ROUNDUP(A48++(B48*C48)+(B3/2)-1,0)&amp;".8")</f>
        <v>437449.0</v>
      </c>
      <c r="F48" s="11" t="s">
        <v>26</v>
      </c>
      <c r="G48" s="11">
        <v>1</v>
      </c>
      <c r="H48" s="11" t="s">
        <v>117</v>
      </c>
      <c r="I48" s="11">
        <v>300</v>
      </c>
      <c r="S48" s="29" t="s">
        <v>311</v>
      </c>
    </row>
    <row r="49" spans="1:19" x14ac:dyDescent="0.25">
      <c r="A49" s="23"/>
      <c r="B49" s="24"/>
      <c r="C49" s="24"/>
      <c r="D49" s="30" t="str">
        <f>"."&amp;B1&amp;".M"&amp;B3&amp;".Link.2"</f>
        <v>.A2.M11.Link.2</v>
      </c>
      <c r="E49" s="31" t="str">
        <f>IF(MOD(B3,2),ROUNDUP(A48+(B48*C48)+(B3/2)-1,0)&amp;".1",ROUNDUP(A48+(B48*C48)+(B3/2)-1,0)&amp;".9")</f>
        <v>437449.1</v>
      </c>
      <c r="F49" s="11" t="s">
        <v>26</v>
      </c>
      <c r="G49" s="11">
        <v>1</v>
      </c>
      <c r="H49" s="11" t="s">
        <v>117</v>
      </c>
      <c r="I49" s="11">
        <v>300</v>
      </c>
      <c r="S49" s="29" t="s">
        <v>312</v>
      </c>
    </row>
    <row r="50" spans="1:19" x14ac:dyDescent="0.25">
      <c r="A50" s="23"/>
      <c r="B50" s="24"/>
      <c r="C50" s="24"/>
      <c r="D50" s="30" t="str">
        <f>"."&amp;B1&amp;".M"&amp;B3&amp;".Link.3"</f>
        <v>.A2.M11.Link.3</v>
      </c>
      <c r="E50" s="31" t="str">
        <f>IF(MOD(B3,2),ROUNDUP(A48+(B48*C48)+(B3/2)-1,0)&amp;".2",ROUNDUP(A48+(B48*C48)+(B3/2)-1,0)&amp;".10")</f>
        <v>437449.2</v>
      </c>
      <c r="F50" s="11" t="s">
        <v>26</v>
      </c>
      <c r="G50" s="32">
        <v>2</v>
      </c>
      <c r="H50" s="11" t="s">
        <v>117</v>
      </c>
      <c r="I50" s="11">
        <v>300</v>
      </c>
      <c r="S50" s="29" t="s">
        <v>313</v>
      </c>
    </row>
    <row r="51" spans="1:19" x14ac:dyDescent="0.25">
      <c r="A51" s="23"/>
      <c r="B51" s="24"/>
      <c r="C51" s="24"/>
      <c r="D51" s="30" t="str">
        <f>"."&amp;B1&amp;".M"&amp;B3&amp;".Link.4"</f>
        <v>.A2.M11.Link.4</v>
      </c>
      <c r="E51" s="31" t="str">
        <f>IF(MOD(B3,2),ROUNDUP(A48+(B48*C48)+(B3/2)-1,0)&amp;".3",ROUNDUP(A48+(B48*C48)+(B3/2)-1,0)&amp;".11")</f>
        <v>437449.3</v>
      </c>
      <c r="F51" s="11" t="s">
        <v>26</v>
      </c>
      <c r="G51" s="11">
        <v>1</v>
      </c>
      <c r="H51" s="11" t="s">
        <v>117</v>
      </c>
      <c r="I51" s="11">
        <v>300</v>
      </c>
      <c r="S51" s="29" t="s">
        <v>314</v>
      </c>
    </row>
    <row r="52" spans="1:19" x14ac:dyDescent="0.25">
      <c r="A52" s="33">
        <v>437467</v>
      </c>
      <c r="B52" s="34">
        <f xml:space="preserve"> IF(B1="A1",0,1)</f>
        <v>1</v>
      </c>
      <c r="C52" s="35">
        <v>2</v>
      </c>
      <c r="D52" s="36" t="str">
        <f>"."&amp;B1&amp;".M"&amp;B3&amp;".Link.IP"</f>
        <v>.A2.M11.Link.IP</v>
      </c>
      <c r="E52" s="37">
        <f>IF(B1="A1",A52+(B52*C52),A52+(B52*C52))</f>
        <v>437469</v>
      </c>
      <c r="F52" t="s">
        <v>315</v>
      </c>
      <c r="G52" s="11">
        <v>1</v>
      </c>
      <c r="H52" s="11" t="s">
        <v>117</v>
      </c>
      <c r="I52" s="11">
        <v>300</v>
      </c>
      <c r="S52" t="s">
        <v>316</v>
      </c>
    </row>
    <row r="53" spans="1:19" x14ac:dyDescent="0.25">
      <c r="A53" s="23"/>
      <c r="B53" s="38"/>
      <c r="C53" s="39"/>
      <c r="D53" s="40" t="str">
        <f>"."&amp;B1&amp;".M"&amp;B3&amp;".Link.1"</f>
        <v>.A2.M11.Link.1</v>
      </c>
      <c r="E53" s="41" t="str">
        <f>IF(MOD(B3,2),ROUNDUP(A48+(B48*C48)+(B3/2)-1,0)&amp;".0",ROUNDUP(A48+(B48*C48)+(B3/2)-1,0)&amp;".8")</f>
        <v>437449.0</v>
      </c>
      <c r="F53" s="11" t="s">
        <v>26</v>
      </c>
      <c r="G53" s="11">
        <v>1</v>
      </c>
      <c r="H53" s="11" t="s">
        <v>117</v>
      </c>
      <c r="I53" s="11">
        <v>300</v>
      </c>
      <c r="S53" s="29" t="s">
        <v>311</v>
      </c>
    </row>
    <row r="54" spans="1:19" x14ac:dyDescent="0.25">
      <c r="A54" s="23"/>
      <c r="B54" s="24"/>
      <c r="C54" s="24"/>
      <c r="D54" s="42" t="str">
        <f>"."&amp;B1&amp;".M"&amp;B3&amp;".Link.Appl"</f>
        <v>.A2.M11.Link.Appl</v>
      </c>
      <c r="E54" s="41" t="str">
        <f>IF(MOD(B3,2),ROUNDUP(A48+(B48*C48)+(B3/2)-1,0)&amp;".7",ROUNDUP(A48+(B48*C48)+(B3/2)-1,0)&amp;".15")</f>
        <v>437449.7</v>
      </c>
      <c r="F54" s="11" t="s">
        <v>26</v>
      </c>
      <c r="G54" s="11">
        <v>1</v>
      </c>
      <c r="H54" s="11" t="s">
        <v>117</v>
      </c>
      <c r="I54" s="11">
        <v>300</v>
      </c>
      <c r="S54" s="29" t="s">
        <v>317</v>
      </c>
    </row>
    <row r="55" spans="1:19" x14ac:dyDescent="0.25">
      <c r="A55" s="79"/>
      <c r="B55" s="24"/>
      <c r="C55" s="24"/>
      <c r="D55" s="42" t="str">
        <f>"."&amp;B1&amp;".M"&amp;B3&amp;".Link.Cfg"</f>
        <v>.A2.M11.Link.Cfg</v>
      </c>
      <c r="E55" s="41" t="str">
        <f>IF(MOD(B3,2),ROUNDUP(A48+(B48*C48)+(B3/2)-1,0)&amp;".6",ROUNDUP(A48+(B48*C48)+(B3/2)-1,0)&amp;".14")</f>
        <v>437449.6</v>
      </c>
      <c r="F55" s="11" t="s">
        <v>26</v>
      </c>
      <c r="G55" s="11">
        <v>1</v>
      </c>
      <c r="H55" s="11" t="s">
        <v>117</v>
      </c>
      <c r="I55" s="11">
        <v>300</v>
      </c>
      <c r="S55" s="29" t="s">
        <v>318</v>
      </c>
    </row>
    <row r="56" spans="1:19" x14ac:dyDescent="0.25">
      <c r="A56" s="33">
        <v>437472</v>
      </c>
      <c r="B56" s="34">
        <f xml:space="preserve"> IF(B1="A1",0,1)</f>
        <v>1</v>
      </c>
      <c r="C56" s="35">
        <v>12</v>
      </c>
      <c r="D56" s="43" t="str">
        <f>"."&amp;B1&amp;".M"&amp;B3&amp;".Link.IP"</f>
        <v>.A2.M11.Link.IP</v>
      </c>
      <c r="E56" s="44">
        <f>IF(B1="A1",A56+(B56*C56)+(B5*2-2),A56+(B56*C56)+(B5*2-2))</f>
        <v>437482</v>
      </c>
      <c r="F56" t="s">
        <v>315</v>
      </c>
      <c r="G56" s="11">
        <v>1</v>
      </c>
      <c r="H56" s="11" t="s">
        <v>117</v>
      </c>
      <c r="I56" s="11">
        <v>300</v>
      </c>
      <c r="S56" t="s">
        <v>316</v>
      </c>
    </row>
    <row r="57" spans="1:19" x14ac:dyDescent="0.25">
      <c r="A57" s="45"/>
      <c r="B57" s="46"/>
      <c r="C57" s="46"/>
      <c r="D57" s="47" t="str">
        <f>"."&amp;B1&amp;".M"&amp;B3&amp;".Link.Run"</f>
        <v>.A2.M11.Link.Run</v>
      </c>
      <c r="E57" s="48" t="str">
        <f>IF(MOD(B3,2),ROUNDUP(A48+(B48*C48)+(B3/2)-1,0)&amp;".5",ROUNDUP(A48+(B48*C48)+(B3/2)-1,0)&amp;".13")</f>
        <v>437449.5</v>
      </c>
      <c r="F57" s="11" t="s">
        <v>26</v>
      </c>
      <c r="G57" s="11">
        <v>1</v>
      </c>
      <c r="H57" s="11" t="s">
        <v>117</v>
      </c>
      <c r="I57" s="11">
        <v>300</v>
      </c>
      <c r="S57" s="29" t="s">
        <v>319</v>
      </c>
    </row>
    <row r="58" spans="1:19" x14ac:dyDescent="0.25">
      <c r="A58" s="49">
        <v>437423</v>
      </c>
      <c r="B58" s="50"/>
      <c r="C58" s="50"/>
      <c r="D58" s="50" t="str">
        <f>"."&amp;B1&amp;".PLC.LogicMismatch"</f>
        <v>.A2.PLC.LogicMismatch</v>
      </c>
      <c r="E58" s="51" t="str">
        <f>IF(B1="A1",A58&amp;".4",A58+2&amp;".4")</f>
        <v>437425.4</v>
      </c>
      <c r="F58" s="11" t="s">
        <v>26</v>
      </c>
      <c r="G58" s="11">
        <v>1</v>
      </c>
      <c r="H58" s="11" t="s">
        <v>117</v>
      </c>
      <c r="I58" s="11">
        <v>300</v>
      </c>
      <c r="S58" t="s">
        <v>320</v>
      </c>
    </row>
    <row r="59" spans="1:19" x14ac:dyDescent="0.25">
      <c r="A59" s="23"/>
      <c r="B59" s="24"/>
      <c r="C59" s="24"/>
      <c r="D59" s="52" t="str">
        <f>"."&amp;B1&amp;".PLC.PLC_B"</f>
        <v>.A2.PLC.PLC_B</v>
      </c>
      <c r="E59" s="53" t="str">
        <f>IF(B1="A1",A58&amp;".5",A58+2&amp;".5")</f>
        <v>437425.5</v>
      </c>
      <c r="F59" s="11" t="s">
        <v>26</v>
      </c>
      <c r="G59" s="11">
        <v>1</v>
      </c>
      <c r="H59" s="11" t="s">
        <v>117</v>
      </c>
      <c r="I59" s="11">
        <v>300</v>
      </c>
      <c r="S59" t="s">
        <v>321</v>
      </c>
    </row>
    <row r="60" spans="1:19" x14ac:dyDescent="0.25">
      <c r="A60" s="23"/>
      <c r="B60" s="24"/>
      <c r="C60" s="24"/>
      <c r="D60" s="52" t="str">
        <f>"."&amp;B1&amp;".PLC.PLCBAT"</f>
        <v>.A2.PLC.PLCBAT</v>
      </c>
      <c r="E60" s="53" t="str">
        <f>IF(B1="A1",A58-1&amp;".4",A58-1+2&amp;".4")</f>
        <v>437424.4</v>
      </c>
      <c r="F60" s="11" t="s">
        <v>26</v>
      </c>
      <c r="G60" s="11">
        <v>1</v>
      </c>
      <c r="H60" s="11" t="s">
        <v>117</v>
      </c>
      <c r="I60" s="11">
        <v>300</v>
      </c>
      <c r="S60" t="s">
        <v>322</v>
      </c>
    </row>
    <row r="61" spans="1:19" x14ac:dyDescent="0.25">
      <c r="A61" s="23"/>
      <c r="B61" s="24"/>
      <c r="C61" s="24"/>
      <c r="D61" s="52" t="str">
        <f>"."&amp;B1&amp;".PLC.PLCopMode_b0"</f>
        <v>.A2.PLC.PLCopMode_b0</v>
      </c>
      <c r="E61" s="53" t="str">
        <f>IF(B1="A1",A58&amp;".0",A58+2&amp;".0")</f>
        <v>437425.0</v>
      </c>
      <c r="F61" s="11" t="s">
        <v>26</v>
      </c>
      <c r="G61" s="11">
        <v>1</v>
      </c>
      <c r="H61" s="11" t="s">
        <v>117</v>
      </c>
      <c r="I61" s="11">
        <v>300</v>
      </c>
      <c r="S61" t="s">
        <v>323</v>
      </c>
    </row>
    <row r="62" spans="1:19" x14ac:dyDescent="0.25">
      <c r="A62" s="45"/>
      <c r="B62" s="46"/>
      <c r="C62" s="46"/>
      <c r="D62" s="54" t="str">
        <f>"."&amp;B1&amp;".PLC.PLCopMode_b1"</f>
        <v>.A2.PLC.PLCopMode_b1</v>
      </c>
      <c r="E62" s="55" t="str">
        <f>IF(B1="A1",A58&amp;".1",A58+2&amp;".1")</f>
        <v>437425.1</v>
      </c>
      <c r="F62" s="11" t="s">
        <v>26</v>
      </c>
      <c r="G62" s="11">
        <v>1</v>
      </c>
      <c r="H62" s="11" t="s">
        <v>117</v>
      </c>
      <c r="I62" s="11">
        <v>300</v>
      </c>
      <c r="S62" t="s">
        <v>324</v>
      </c>
    </row>
    <row r="63" spans="1:19" x14ac:dyDescent="0.25">
      <c r="A63" s="56">
        <v>437428</v>
      </c>
      <c r="B63" s="57">
        <f xml:space="preserve"> IF(B1="A5",0,1)</f>
        <v>1</v>
      </c>
      <c r="C63" s="58">
        <v>1</v>
      </c>
      <c r="D63" s="59" t="str">
        <f>"."&amp;B1&amp;".Panel"</f>
        <v>.A2.Panel</v>
      </c>
      <c r="E63" s="60">
        <f>A63+(B63*C63)</f>
        <v>437429</v>
      </c>
      <c r="F63" s="11" t="s">
        <v>21</v>
      </c>
      <c r="G63" s="11">
        <v>1</v>
      </c>
      <c r="H63" s="11" t="s">
        <v>117</v>
      </c>
      <c r="I63" s="11">
        <v>300</v>
      </c>
      <c r="S63" t="str">
        <f>B1&amp;" "&amp;B4</f>
        <v>A2 BMXNOE0100</v>
      </c>
    </row>
    <row r="64" spans="1:19" x14ac:dyDescent="0.25">
      <c r="A64" s="23"/>
      <c r="B64" s="24"/>
      <c r="C64" s="24"/>
      <c r="D64" s="24" t="str">
        <f xml:space="preserve"> IF(B3="CPS","."&amp;B1&amp;"."&amp;B3&amp;".Module","."&amp;B1&amp;".M"&amp;B3&amp;".Module")</f>
        <v>.A2.M11.Module</v>
      </c>
      <c r="E64" s="26" t="str">
        <f>A63+(B63*C63)&amp;IF(B3="CPS",".0","."&amp;B3)</f>
        <v>437429.11</v>
      </c>
      <c r="F64" s="11" t="s">
        <v>26</v>
      </c>
      <c r="G64" s="11">
        <v>1</v>
      </c>
      <c r="H64" s="11" t="s">
        <v>117</v>
      </c>
      <c r="I64" s="11">
        <v>300</v>
      </c>
      <c r="S64" t="str">
        <f>B2&amp;" "&amp;B4</f>
        <v>A2.11 BMXNOE0100</v>
      </c>
    </row>
    <row r="65" spans="1:19" x14ac:dyDescent="0.25">
      <c r="A65" s="61">
        <v>437452</v>
      </c>
      <c r="B65" s="17">
        <f xml:space="preserve"> IF(B1="A5",0,1)</f>
        <v>1</v>
      </c>
      <c r="C65" s="62">
        <v>6</v>
      </c>
      <c r="D65" s="63" t="str">
        <f>"."&amp;B1&amp;".M"&amp;B3&amp;".Link.1"</f>
        <v>.A2.M11.Link.1</v>
      </c>
      <c r="E65" s="64" t="str">
        <f>IF(MOD(B3+2,2),A65+(B65*C65)+ROUNDDOWN(B3/2,0)&amp;".8",A65+(B65*C65)+ROUNDDOWN(B3/2,0)&amp;".0")</f>
        <v>437463.8</v>
      </c>
      <c r="F65" s="11" t="s">
        <v>26</v>
      </c>
      <c r="G65" s="11">
        <v>1</v>
      </c>
      <c r="H65" s="11" t="s">
        <v>117</v>
      </c>
      <c r="I65" s="11">
        <v>300</v>
      </c>
      <c r="S65" s="29" t="s">
        <v>311</v>
      </c>
    </row>
    <row r="66" spans="1:19" x14ac:dyDescent="0.25">
      <c r="A66" s="45"/>
      <c r="B66" s="46"/>
      <c r="C66" s="46"/>
      <c r="D66" s="63" t="str">
        <f>"."&amp;B1&amp;".M"&amp;B3&amp;".Link.2"</f>
        <v>.A2.M11.Link.2</v>
      </c>
      <c r="E66" s="65" t="str">
        <f>IF(MOD(B3+2,2),A65+(B65*C65)+ROUNDDOWN(B3/2,0)&amp;".9",A65+(B65*C65)+ROUNDDOWN(B3/2,0)&amp;".1")</f>
        <v>437463.9</v>
      </c>
      <c r="F66" s="11" t="s">
        <v>26</v>
      </c>
      <c r="G66" s="11">
        <v>1</v>
      </c>
      <c r="H66" s="11" t="s">
        <v>117</v>
      </c>
      <c r="I66" s="11">
        <v>300</v>
      </c>
      <c r="S66" s="29" t="s">
        <v>312</v>
      </c>
    </row>
    <row r="67" spans="1:19" x14ac:dyDescent="0.25">
      <c r="A67" s="80">
        <v>437185</v>
      </c>
      <c r="B67" s="81">
        <f xml:space="preserve"> IF(B1="A5",0,1)</f>
        <v>1</v>
      </c>
      <c r="C67" s="81">
        <v>1</v>
      </c>
      <c r="D67" s="82" t="str">
        <f>"."&amp;B1&amp;".Panel"</f>
        <v>.A2.Panel</v>
      </c>
      <c r="E67" s="83">
        <f>A67+(B67*C67)</f>
        <v>437186</v>
      </c>
      <c r="F67" s="11" t="s">
        <v>21</v>
      </c>
      <c r="G67" s="11">
        <v>1</v>
      </c>
      <c r="H67" s="11" t="s">
        <v>117</v>
      </c>
      <c r="I67" s="11">
        <v>300</v>
      </c>
      <c r="S67" t="str">
        <f>B1&amp;" "&amp;B4</f>
        <v>A2 BMXNOE0100</v>
      </c>
    </row>
    <row r="68" spans="1:19" x14ac:dyDescent="0.25">
      <c r="A68" s="84"/>
      <c r="B68" s="85"/>
      <c r="C68" s="85"/>
      <c r="D68" s="85" t="str">
        <f xml:space="preserve"> IF(B3="CPS","."&amp;B1&amp;"."&amp;B3&amp;".Module","."&amp;B1&amp;".M"&amp;B3&amp;".Module")</f>
        <v>.A2.M11.Module</v>
      </c>
      <c r="E68" s="86" t="str">
        <f>A67+(B67*C67)&amp;IF(B3="CPS",".0","."&amp;B3)</f>
        <v>437186.11</v>
      </c>
      <c r="F68" s="11" t="s">
        <v>26</v>
      </c>
      <c r="G68" s="11">
        <v>1</v>
      </c>
      <c r="H68" s="11" t="s">
        <v>117</v>
      </c>
      <c r="I68" s="11">
        <v>300</v>
      </c>
      <c r="S68" t="str">
        <f>B2&amp;" "&amp;B4</f>
        <v>A2.11 BMXNOE0100</v>
      </c>
    </row>
    <row r="69" spans="1:19" x14ac:dyDescent="0.25">
      <c r="A69" s="87">
        <v>437298</v>
      </c>
      <c r="B69" s="88">
        <f xml:space="preserve"> IF(B1="A5",0,1)</f>
        <v>1</v>
      </c>
      <c r="C69" s="88">
        <v>6</v>
      </c>
      <c r="D69" s="89" t="str">
        <f>"."&amp;B1&amp;".M"&amp;B3&amp;".Link.1"</f>
        <v>.A2.M11.Link.1</v>
      </c>
      <c r="E69" s="90" t="str">
        <f>IF(MOD(B3+2,2),A69+(B69*C69)+ROUNDDOWN(B3/2,0)&amp;".8",A69+(B69*C69)+ROUNDDOWN(B3/2,0)&amp;".0")</f>
        <v>437309.8</v>
      </c>
      <c r="F69" s="11" t="s">
        <v>26</v>
      </c>
      <c r="G69" s="11">
        <v>1</v>
      </c>
      <c r="H69" s="11" t="s">
        <v>117</v>
      </c>
      <c r="I69" s="11">
        <v>300</v>
      </c>
      <c r="S69" s="29" t="s">
        <v>311</v>
      </c>
    </row>
    <row r="70" spans="1:19" x14ac:dyDescent="0.25">
      <c r="A70" s="91">
        <v>437430</v>
      </c>
      <c r="B70" s="57"/>
      <c r="C70" s="57"/>
      <c r="D70" s="59" t="str">
        <f>"."&amp;B1&amp;".Panel"</f>
        <v>.A2.Panel</v>
      </c>
      <c r="E70" s="60">
        <f>(B6-1)+A70</f>
        <v>437443</v>
      </c>
      <c r="F70" s="11" t="s">
        <v>21</v>
      </c>
      <c r="G70" s="11">
        <v>1</v>
      </c>
      <c r="H70" s="11" t="s">
        <v>117</v>
      </c>
      <c r="I70" s="11">
        <v>300</v>
      </c>
      <c r="S70" t="str">
        <f>B1&amp;" "&amp;B4</f>
        <v>A2 BMXNOE0100</v>
      </c>
    </row>
    <row r="71" spans="1:19" x14ac:dyDescent="0.25">
      <c r="A71" s="23"/>
      <c r="B71" s="24"/>
      <c r="C71" s="24"/>
      <c r="D71" s="24" t="str">
        <f xml:space="preserve"> IF(B3="CPS","."&amp;B1&amp;"."&amp;B3&amp;".Module","."&amp;B1&amp;".M"&amp;B3&amp;".Module")</f>
        <v>.A2.M11.Module</v>
      </c>
      <c r="E71" s="98" t="str">
        <f>E70&amp;IF(B3="CPS",".15","."&amp;15-B3)</f>
        <v>437443.4</v>
      </c>
      <c r="F71" s="11" t="s">
        <v>26</v>
      </c>
      <c r="G71" s="11">
        <v>1</v>
      </c>
      <c r="H71" s="11" t="s">
        <v>117</v>
      </c>
      <c r="I71" s="11">
        <v>300</v>
      </c>
      <c r="S71" t="str">
        <f>B2&amp;" "&amp;B4</f>
        <v>A2.11 BMXNOE0100</v>
      </c>
    </row>
    <row r="72" spans="1:19" x14ac:dyDescent="0.25">
      <c r="A72" s="69">
        <v>437464</v>
      </c>
      <c r="B72" s="17"/>
      <c r="C72" s="24"/>
      <c r="D72" s="70" t="str">
        <f>"."&amp;B1&amp;".M"&amp;B3&amp;".Link.1"</f>
        <v>.A2.M11.Link.1</v>
      </c>
      <c r="E72" s="71" t="str">
        <f>A72+ ROUNDUP(B6/2,0)-1&amp;IF(MOD(B6,2),".0",".8")</f>
        <v>437470.8</v>
      </c>
      <c r="F72" s="11" t="s">
        <v>26</v>
      </c>
      <c r="G72" s="11">
        <v>1</v>
      </c>
      <c r="H72" s="11" t="s">
        <v>117</v>
      </c>
      <c r="I72" s="11">
        <v>300</v>
      </c>
      <c r="S72" s="29" t="s">
        <v>325</v>
      </c>
    </row>
    <row r="73" spans="1:19" x14ac:dyDescent="0.25">
      <c r="A73" s="23"/>
      <c r="B73" s="24"/>
      <c r="C73" s="24"/>
      <c r="D73" s="72" t="str">
        <f>"."&amp;B1&amp;".M"&amp;B3&amp;".Link.2"</f>
        <v>.A2.M11.Link.2</v>
      </c>
      <c r="E73" s="64" t="str">
        <f>A72+ ROUNDUP(B6/2,0)-1&amp;IF(MOD(B6,2),".1",".9")</f>
        <v>437470.9</v>
      </c>
      <c r="F73" s="11" t="s">
        <v>26</v>
      </c>
      <c r="G73" s="11">
        <v>1</v>
      </c>
      <c r="H73" s="11" t="s">
        <v>117</v>
      </c>
      <c r="I73" s="11">
        <v>300</v>
      </c>
      <c r="S73" s="29" t="s">
        <v>326</v>
      </c>
    </row>
    <row r="74" spans="1:19" x14ac:dyDescent="0.25">
      <c r="A74" s="23"/>
      <c r="B74" s="24"/>
      <c r="C74" s="24"/>
      <c r="D74" s="72" t="str">
        <f>"."&amp;B1&amp;".M"&amp;B3&amp;".Link.3"</f>
        <v>.A2.M11.Link.3</v>
      </c>
      <c r="E74" s="64" t="str">
        <f>A72+ ROUNDUP(B6/2,0)-1&amp;IF(MOD(B6,2),".2",".10")</f>
        <v>437470.10</v>
      </c>
      <c r="F74" s="11" t="s">
        <v>26</v>
      </c>
      <c r="G74" s="11">
        <v>1</v>
      </c>
      <c r="H74" s="11" t="s">
        <v>117</v>
      </c>
      <c r="I74" s="11">
        <v>300</v>
      </c>
      <c r="S74" s="29" t="s">
        <v>327</v>
      </c>
    </row>
    <row r="75" spans="1:19" x14ac:dyDescent="0.25">
      <c r="A75" s="23"/>
      <c r="B75" s="24"/>
      <c r="C75" s="24"/>
      <c r="D75" s="70" t="str">
        <f>"."&amp;B1&amp;".M"&amp;B3&amp;".Link.0"</f>
        <v>.A2.M11.Link.0</v>
      </c>
      <c r="E75" s="64" t="str">
        <f>A72+ ROUNDUP(B6/2,0)-1&amp;IF(MOD(B6,2),"."&amp;4+((B5*2)-2),"."&amp;12+((B5*2)-2))</f>
        <v>437470.10</v>
      </c>
      <c r="F75" s="11" t="s">
        <v>26</v>
      </c>
      <c r="G75" s="11">
        <v>1</v>
      </c>
      <c r="H75" s="11" t="s">
        <v>117</v>
      </c>
      <c r="I75" s="11">
        <v>300</v>
      </c>
      <c r="S75" s="29" t="str">
        <f xml:space="preserve"> "=1 - есть связь по порту 0 NOM " &amp; B40</f>
        <v xml:space="preserve">=1 - есть связь по порту 0 NOM </v>
      </c>
    </row>
    <row r="76" spans="1:19" x14ac:dyDescent="0.25">
      <c r="A76" s="23"/>
      <c r="B76" s="24"/>
      <c r="C76" s="24"/>
      <c r="D76" s="73" t="str">
        <f>"."&amp;B1&amp;".M"&amp;B3&amp;".Link.1"</f>
        <v>.A2.M11.Link.1</v>
      </c>
      <c r="E76" s="64" t="str">
        <f>A72+ ROUNDUP(B6/2,0)-1&amp;IF(MOD(B6,2),"."&amp; 5+((B5*2)-2),"."&amp; 13+((B5*2)-2))</f>
        <v>437470.11</v>
      </c>
      <c r="F76" s="11" t="s">
        <v>26</v>
      </c>
      <c r="G76" s="11">
        <v>1</v>
      </c>
      <c r="H76" s="11" t="s">
        <v>117</v>
      </c>
      <c r="I76" s="11">
        <v>300</v>
      </c>
      <c r="S76" s="29" t="str">
        <f xml:space="preserve"> "=1 - есть связь по порту 1 NOM " &amp; B40</f>
        <v xml:space="preserve">=1 - есть связь по порту 1 NOM </v>
      </c>
    </row>
    <row r="77" spans="1:19" x14ac:dyDescent="0.25">
      <c r="A77" s="74">
        <v>437855</v>
      </c>
      <c r="B77" s="75">
        <f>B5</f>
        <v>0</v>
      </c>
      <c r="C77" s="76">
        <v>8</v>
      </c>
      <c r="D77" s="77" t="str">
        <f>"."&amp;B1&amp;".M"&amp;B3&amp;"."&amp;B7</f>
        <v>.A2.M11.31</v>
      </c>
      <c r="E77" s="64">
        <f>(A77+B7)+(B77*C77)-8</f>
        <v>437878</v>
      </c>
      <c r="F77" t="s">
        <v>295</v>
      </c>
      <c r="G77" s="11">
        <v>1</v>
      </c>
      <c r="H77" s="11" t="s">
        <v>117</v>
      </c>
      <c r="I77" s="11">
        <v>300</v>
      </c>
      <c r="S77" t="str">
        <f>B7&amp;". "&amp;B8</f>
        <v xml:space="preserve">31.  </v>
      </c>
    </row>
    <row r="78" spans="1:19" x14ac:dyDescent="0.25">
      <c r="A78" s="74">
        <v>437615</v>
      </c>
      <c r="B78" s="76">
        <f>B5</f>
        <v>0</v>
      </c>
      <c r="C78" s="76">
        <v>2</v>
      </c>
      <c r="D78" s="78" t="str">
        <f>"."&amp;B1&amp;".M"&amp;B3&amp;"."&amp;B7</f>
        <v>.A2.M11.31</v>
      </c>
      <c r="E78" s="64" t="str">
        <f>IF(B7&lt;16,A78+(B78*C78)-2&amp;"."&amp;B7,A78+(B78*C78)-2+1&amp;"."&amp;B7-16)</f>
        <v>437614.15</v>
      </c>
      <c r="F78" s="11" t="s">
        <v>26</v>
      </c>
      <c r="G78" s="11">
        <v>1</v>
      </c>
      <c r="H78" s="11" t="s">
        <v>117</v>
      </c>
      <c r="I78" s="11">
        <v>300</v>
      </c>
      <c r="S78" t="str">
        <f>B7&amp;". "&amp;B8</f>
        <v xml:space="preserve">31.  </v>
      </c>
    </row>
    <row r="79" spans="1:19" x14ac:dyDescent="0.25">
      <c r="A79" s="74">
        <v>437775</v>
      </c>
      <c r="B79" s="76">
        <f>B5</f>
        <v>0</v>
      </c>
      <c r="C79" s="76">
        <v>2</v>
      </c>
      <c r="D79" s="78" t="str">
        <f>"."&amp;B1&amp;".M"&amp;B3&amp;"."&amp;B7</f>
        <v>.A2.M11.31</v>
      </c>
      <c r="E79" s="65" t="str">
        <f>IF(B7&lt;16,A79+(B79*C79)-2&amp;"."&amp;B7,A79+(B79*C79)-2+1&amp;"."&amp;B7-16)</f>
        <v>437774.15</v>
      </c>
      <c r="F79" s="11" t="s">
        <v>26</v>
      </c>
      <c r="G79" s="11">
        <v>1</v>
      </c>
      <c r="H79" s="11" t="s">
        <v>117</v>
      </c>
      <c r="I79" s="11">
        <v>300</v>
      </c>
      <c r="S79" t="str">
        <f>B7&amp;". "&amp;B8</f>
        <v xml:space="preserve">31.  </v>
      </c>
    </row>
    <row r="80" spans="1:19" x14ac:dyDescent="0.25">
      <c r="A80" s="74">
        <v>438495</v>
      </c>
      <c r="B80" s="76">
        <f>B5</f>
        <v>0</v>
      </c>
      <c r="C80" s="76">
        <v>4</v>
      </c>
      <c r="D80" s="92" t="str">
        <f>"."&amp;B1&amp;".M"&amp;B3&amp;"."&amp;B7</f>
        <v>.A2.M11.31</v>
      </c>
      <c r="E80" s="15">
        <f>(A80+B7)+(B80*C80)-8</f>
        <v>438518</v>
      </c>
      <c r="F80" t="s">
        <v>295</v>
      </c>
      <c r="G80" s="11">
        <v>1</v>
      </c>
      <c r="H80" s="11" t="s">
        <v>117</v>
      </c>
      <c r="I80" s="11">
        <v>300</v>
      </c>
      <c r="S80" t="str">
        <f>B7&amp;". "&amp;B8</f>
        <v xml:space="preserve">31.  </v>
      </c>
    </row>
    <row r="81" spans="1:19" x14ac:dyDescent="0.25">
      <c r="A81" t="s">
        <v>343</v>
      </c>
    </row>
    <row r="82" spans="1:19" x14ac:dyDescent="0.25">
      <c r="A82" s="99">
        <v>437615</v>
      </c>
      <c r="B82" s="100">
        <f>B5</f>
        <v>0</v>
      </c>
      <c r="C82" s="100">
        <v>2</v>
      </c>
      <c r="D82" s="101" t="str">
        <f>"."&amp;B1&amp;".M"&amp;B3&amp;"."&amp; IF(B7=1,"Reg1","Reg2")</f>
        <v>.A2.M11.Reg2</v>
      </c>
      <c r="E82" s="102">
        <f>IF(B7&lt;16,A82+(B82*C82)-2,A82+(B82*C82)-2+1)</f>
        <v>437614</v>
      </c>
      <c r="F82" s="11" t="s">
        <v>21</v>
      </c>
      <c r="G82" s="11">
        <v>1</v>
      </c>
      <c r="H82" s="11" t="s">
        <v>117</v>
      </c>
      <c r="I82" s="11">
        <v>300</v>
      </c>
      <c r="S82" t="s">
        <v>344</v>
      </c>
    </row>
    <row r="83" spans="1:19" x14ac:dyDescent="0.25">
      <c r="A83" s="99">
        <v>437775</v>
      </c>
      <c r="B83" s="100">
        <f>B5</f>
        <v>0</v>
      </c>
      <c r="C83" s="100">
        <v>2</v>
      </c>
      <c r="D83" s="101" t="str">
        <f>"."&amp;B1&amp;".M"&amp;B3&amp;"."&amp; IF(B7=1,"Reg1","Reg2")</f>
        <v>.A2.M11.Reg2</v>
      </c>
      <c r="E83" s="103">
        <f>IF(B7&lt;16,A83+(B83*C83)-2,A83+(B83*C83)-2+1)</f>
        <v>437774</v>
      </c>
      <c r="F83" s="11" t="s">
        <v>21</v>
      </c>
      <c r="G83" s="11">
        <v>1</v>
      </c>
      <c r="H83" s="11" t="s">
        <v>117</v>
      </c>
      <c r="I83" s="11">
        <v>300</v>
      </c>
      <c r="S83" t="s">
        <v>342</v>
      </c>
    </row>
  </sheetData>
  <mergeCells count="1">
    <mergeCell ref="A45:T45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2:T6"/>
  <sheetViews>
    <sheetView workbookViewId="0">
      <selection activeCell="D9" sqref="D9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21.5703125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400216</v>
      </c>
      <c r="B3" t="s">
        <v>433</v>
      </c>
      <c r="C3" s="108">
        <v>0</v>
      </c>
      <c r="D3" t="s">
        <v>193</v>
      </c>
      <c r="E3" s="4"/>
      <c r="F3" s="11" t="s">
        <v>26</v>
      </c>
      <c r="G3">
        <v>1</v>
      </c>
      <c r="H3" t="s">
        <v>117</v>
      </c>
      <c r="I3">
        <v>99999990</v>
      </c>
      <c r="S3" s="6" t="s">
        <v>437</v>
      </c>
      <c r="T3" s="5"/>
    </row>
    <row r="4" spans="1:20" x14ac:dyDescent="0.25">
      <c r="A4">
        <v>400216</v>
      </c>
      <c r="B4" t="s">
        <v>433</v>
      </c>
      <c r="C4">
        <v>0</v>
      </c>
      <c r="D4" t="s">
        <v>434</v>
      </c>
      <c r="F4" s="11" t="s">
        <v>26</v>
      </c>
      <c r="G4" s="11">
        <v>1</v>
      </c>
      <c r="H4" s="11" t="s">
        <v>117</v>
      </c>
      <c r="I4" s="11">
        <v>300</v>
      </c>
      <c r="S4" s="6" t="s">
        <v>438</v>
      </c>
    </row>
    <row r="5" spans="1:20" x14ac:dyDescent="0.25">
      <c r="A5">
        <v>400217</v>
      </c>
      <c r="B5" t="s">
        <v>433</v>
      </c>
      <c r="C5">
        <v>0</v>
      </c>
      <c r="D5" s="11" t="s">
        <v>435</v>
      </c>
      <c r="F5" s="11" t="s">
        <v>26</v>
      </c>
      <c r="G5" s="11">
        <v>1</v>
      </c>
      <c r="H5" s="11" t="s">
        <v>117</v>
      </c>
      <c r="I5" s="11">
        <v>300</v>
      </c>
      <c r="S5" s="6" t="s">
        <v>439</v>
      </c>
    </row>
    <row r="6" spans="1:20" x14ac:dyDescent="0.25">
      <c r="A6">
        <v>400218</v>
      </c>
      <c r="B6" t="s">
        <v>433</v>
      </c>
      <c r="C6">
        <v>0</v>
      </c>
      <c r="D6" s="11" t="s">
        <v>436</v>
      </c>
      <c r="F6" s="11" t="s">
        <v>26</v>
      </c>
      <c r="G6" s="11">
        <v>1</v>
      </c>
      <c r="H6" s="11" t="s">
        <v>117</v>
      </c>
      <c r="I6" s="11">
        <v>300</v>
      </c>
      <c r="S6" s="6" t="s">
        <v>440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/>
  <dimension ref="A2:T6"/>
  <sheetViews>
    <sheetView workbookViewId="0">
      <selection activeCell="A7" sqref="A7"/>
    </sheetView>
  </sheetViews>
  <sheetFormatPr defaultRowHeight="15" x14ac:dyDescent="0.25"/>
  <cols>
    <col min="1" max="1" width="20.42578125" bestFit="1" customWidth="1"/>
    <col min="2" max="2" width="16.85546875" customWidth="1"/>
    <col min="3" max="3" width="11.140625" bestFit="1" customWidth="1"/>
    <col min="4" max="4" width="31.5703125" bestFit="1" customWidth="1"/>
    <col min="5" max="5" width="21.5703125" customWidth="1"/>
    <col min="6" max="6" width="9.5703125" bestFit="1" customWidth="1"/>
    <col min="7" max="7" width="17.42578125" bestFit="1" customWidth="1"/>
    <col min="19" max="19" width="25.85546875" bestFit="1" customWidth="1"/>
    <col min="20" max="20" width="13.42578125" customWidth="1"/>
  </cols>
  <sheetData>
    <row r="2" spans="1:20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>
        <v>400846</v>
      </c>
      <c r="B3" t="s">
        <v>433</v>
      </c>
      <c r="C3" s="108">
        <v>0</v>
      </c>
      <c r="D3" t="s">
        <v>193</v>
      </c>
      <c r="E3" s="4"/>
      <c r="F3" s="11" t="s">
        <v>26</v>
      </c>
      <c r="G3">
        <v>1</v>
      </c>
      <c r="H3" t="s">
        <v>117</v>
      </c>
      <c r="I3">
        <v>99999990</v>
      </c>
      <c r="S3" s="6" t="s">
        <v>437</v>
      </c>
      <c r="T3" s="5"/>
    </row>
    <row r="4" spans="1:20" x14ac:dyDescent="0.25">
      <c r="A4">
        <v>400846</v>
      </c>
      <c r="B4" t="s">
        <v>433</v>
      </c>
      <c r="C4">
        <v>0</v>
      </c>
      <c r="D4" t="s">
        <v>434</v>
      </c>
      <c r="F4" s="11" t="s">
        <v>26</v>
      </c>
      <c r="G4" s="11">
        <v>1</v>
      </c>
      <c r="H4" s="11" t="s">
        <v>117</v>
      </c>
      <c r="I4" s="11">
        <v>300</v>
      </c>
      <c r="S4" s="6" t="s">
        <v>438</v>
      </c>
    </row>
    <row r="5" spans="1:20" x14ac:dyDescent="0.25">
      <c r="A5">
        <v>400820</v>
      </c>
      <c r="B5" t="s">
        <v>433</v>
      </c>
      <c r="C5">
        <v>0</v>
      </c>
      <c r="D5" s="11" t="s">
        <v>435</v>
      </c>
      <c r="F5" s="11" t="s">
        <v>26</v>
      </c>
      <c r="G5" s="11">
        <v>1</v>
      </c>
      <c r="H5" s="11" t="s">
        <v>117</v>
      </c>
      <c r="I5" s="11">
        <v>300</v>
      </c>
      <c r="S5" s="6" t="s">
        <v>439</v>
      </c>
    </row>
    <row r="6" spans="1:20" x14ac:dyDescent="0.25">
      <c r="A6">
        <v>400833</v>
      </c>
      <c r="B6" t="s">
        <v>433</v>
      </c>
      <c r="C6">
        <v>0</v>
      </c>
      <c r="D6" s="11" t="s">
        <v>436</v>
      </c>
      <c r="F6" s="11" t="s">
        <v>26</v>
      </c>
      <c r="G6" s="11">
        <v>1</v>
      </c>
      <c r="H6" s="11" t="s">
        <v>117</v>
      </c>
      <c r="I6" s="11">
        <v>300</v>
      </c>
      <c r="S6" s="6" t="s">
        <v>440</v>
      </c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T4"/>
  <sheetViews>
    <sheetView workbookViewId="0">
      <selection activeCell="A3" sqref="A3:XFD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T4"/>
  <sheetViews>
    <sheetView workbookViewId="0">
      <selection activeCell="H8" sqref="H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S3" s="6"/>
      <c r="T3" s="5"/>
    </row>
    <row r="4" spans="1:20" x14ac:dyDescent="0.25">
      <c r="E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T6"/>
  <sheetViews>
    <sheetView workbookViewId="0">
      <selection activeCell="C16" sqref="C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193</v>
      </c>
      <c r="F3" t="s">
        <v>21</v>
      </c>
      <c r="G3">
        <v>1</v>
      </c>
      <c r="H3" t="s">
        <v>117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443</v>
      </c>
      <c r="E4" s="4" t="s">
        <v>29</v>
      </c>
      <c r="F4" t="s">
        <v>26</v>
      </c>
      <c r="G4">
        <v>1</v>
      </c>
      <c r="H4" s="11" t="s">
        <v>117</v>
      </c>
      <c r="I4">
        <v>300</v>
      </c>
      <c r="S4" t="s">
        <v>446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442</v>
      </c>
      <c r="E5" s="4" t="s">
        <v>25</v>
      </c>
      <c r="F5" t="s">
        <v>26</v>
      </c>
      <c r="G5">
        <v>1</v>
      </c>
      <c r="H5" s="11" t="s">
        <v>117</v>
      </c>
      <c r="I5">
        <v>300</v>
      </c>
      <c r="S5" t="s">
        <v>445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444</v>
      </c>
      <c r="E6" s="4" t="s">
        <v>27</v>
      </c>
      <c r="F6" t="s">
        <v>26</v>
      </c>
      <c r="G6">
        <v>1</v>
      </c>
      <c r="H6" s="11" t="s">
        <v>117</v>
      </c>
      <c r="I6">
        <v>300</v>
      </c>
      <c r="S6" t="s">
        <v>447</v>
      </c>
      <c r="T6" s="5"/>
    </row>
  </sheetData>
  <pageMargins left="0.7" right="0.7" top="0.75" bottom="0.75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/>
  <dimension ref="A1:T6"/>
  <sheetViews>
    <sheetView workbookViewId="0">
      <selection activeCell="B19" sqref="B19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437372</v>
      </c>
      <c r="B3" s="4">
        <v>1</v>
      </c>
      <c r="C3" s="4">
        <v>0</v>
      </c>
      <c r="D3" t="s">
        <v>193</v>
      </c>
      <c r="F3" t="s">
        <v>21</v>
      </c>
      <c r="G3">
        <v>1</v>
      </c>
      <c r="H3" t="s">
        <v>117</v>
      </c>
      <c r="I3">
        <v>99999990</v>
      </c>
      <c r="S3" s="6" t="s">
        <v>43</v>
      </c>
      <c r="T3" s="5"/>
    </row>
    <row r="4" spans="1:20" x14ac:dyDescent="0.25">
      <c r="A4" s="4">
        <v>437372</v>
      </c>
      <c r="B4" s="4">
        <v>1</v>
      </c>
      <c r="C4" s="4">
        <v>0</v>
      </c>
      <c r="D4" t="s">
        <v>443</v>
      </c>
      <c r="E4" s="4" t="s">
        <v>57</v>
      </c>
      <c r="F4" t="s">
        <v>26</v>
      </c>
      <c r="G4">
        <v>1</v>
      </c>
      <c r="H4" s="11" t="s">
        <v>117</v>
      </c>
      <c r="I4">
        <v>300</v>
      </c>
      <c r="S4" t="s">
        <v>446</v>
      </c>
      <c r="T4" s="5"/>
    </row>
    <row r="5" spans="1:20" x14ac:dyDescent="0.25">
      <c r="A5" s="4">
        <v>437372</v>
      </c>
      <c r="B5" s="4">
        <v>1</v>
      </c>
      <c r="C5" s="4">
        <v>0</v>
      </c>
      <c r="D5" t="s">
        <v>442</v>
      </c>
      <c r="E5" s="4" t="s">
        <v>65</v>
      </c>
      <c r="F5" t="s">
        <v>26</v>
      </c>
      <c r="G5">
        <v>1</v>
      </c>
      <c r="H5" s="11" t="s">
        <v>117</v>
      </c>
      <c r="I5">
        <v>300</v>
      </c>
      <c r="S5" t="s">
        <v>445</v>
      </c>
      <c r="T5" s="5"/>
    </row>
    <row r="6" spans="1:20" x14ac:dyDescent="0.25">
      <c r="A6" s="4">
        <v>437372</v>
      </c>
      <c r="B6" s="4">
        <v>1</v>
      </c>
      <c r="C6" s="4">
        <v>0</v>
      </c>
      <c r="D6" t="s">
        <v>444</v>
      </c>
      <c r="E6" s="4" t="s">
        <v>54</v>
      </c>
      <c r="F6" t="s">
        <v>26</v>
      </c>
      <c r="G6">
        <v>1</v>
      </c>
      <c r="H6" s="11" t="s">
        <v>117</v>
      </c>
      <c r="I6">
        <v>300</v>
      </c>
      <c r="S6" t="s">
        <v>447</v>
      </c>
      <c r="T6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T38"/>
  <sheetViews>
    <sheetView topLeftCell="E16" workbookViewId="0">
      <selection activeCell="S34" sqref="S3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401700</v>
      </c>
      <c r="B3" s="4">
        <v>2</v>
      </c>
      <c r="C3" s="4">
        <v>0</v>
      </c>
      <c r="D3" t="s">
        <v>193</v>
      </c>
      <c r="F3" t="s">
        <v>21</v>
      </c>
      <c r="G3">
        <v>1</v>
      </c>
      <c r="H3" t="s">
        <v>117</v>
      </c>
      <c r="I3">
        <v>99999990</v>
      </c>
      <c r="S3" s="6" t="s">
        <v>43</v>
      </c>
      <c r="T3" s="5"/>
    </row>
    <row r="4" spans="1:20" x14ac:dyDescent="0.25">
      <c r="A4" s="4">
        <v>401700</v>
      </c>
      <c r="B4" s="4">
        <v>2</v>
      </c>
      <c r="C4" s="4">
        <v>0</v>
      </c>
      <c r="D4" t="s">
        <v>429</v>
      </c>
      <c r="F4" t="s">
        <v>21</v>
      </c>
      <c r="G4">
        <v>1</v>
      </c>
      <c r="H4" t="s">
        <v>117</v>
      </c>
      <c r="I4">
        <v>300</v>
      </c>
      <c r="S4" s="6"/>
      <c r="T4" s="5"/>
    </row>
    <row r="5" spans="1:20" x14ac:dyDescent="0.25">
      <c r="A5" s="4">
        <v>401700</v>
      </c>
      <c r="B5" s="4">
        <v>2</v>
      </c>
      <c r="C5" s="4">
        <v>0</v>
      </c>
      <c r="D5" t="s">
        <v>29</v>
      </c>
      <c r="E5" s="4" t="s">
        <v>29</v>
      </c>
      <c r="F5" t="s">
        <v>26</v>
      </c>
      <c r="G5">
        <v>1</v>
      </c>
      <c r="H5" s="7" t="s">
        <v>117</v>
      </c>
      <c r="I5">
        <v>300</v>
      </c>
      <c r="S5" t="s">
        <v>405</v>
      </c>
      <c r="T5" s="5"/>
    </row>
    <row r="6" spans="1:20" x14ac:dyDescent="0.25">
      <c r="A6" s="4">
        <v>401700</v>
      </c>
      <c r="B6" s="4">
        <v>2</v>
      </c>
      <c r="C6" s="4">
        <v>0</v>
      </c>
      <c r="D6" t="s">
        <v>25</v>
      </c>
      <c r="E6" s="4" t="s">
        <v>25</v>
      </c>
      <c r="F6" t="s">
        <v>26</v>
      </c>
      <c r="G6">
        <v>1</v>
      </c>
      <c r="H6" s="7" t="s">
        <v>117</v>
      </c>
      <c r="I6">
        <v>300</v>
      </c>
      <c r="S6" t="s">
        <v>406</v>
      </c>
      <c r="T6" s="5"/>
    </row>
    <row r="7" spans="1:20" x14ac:dyDescent="0.25">
      <c r="A7" s="4">
        <v>401700</v>
      </c>
      <c r="B7" s="4">
        <v>2</v>
      </c>
      <c r="C7" s="4">
        <v>0</v>
      </c>
      <c r="D7" t="s">
        <v>27</v>
      </c>
      <c r="E7" s="4" t="s">
        <v>27</v>
      </c>
      <c r="F7" t="s">
        <v>26</v>
      </c>
      <c r="G7">
        <v>1</v>
      </c>
      <c r="H7" s="7" t="s">
        <v>117</v>
      </c>
      <c r="I7">
        <v>300</v>
      </c>
      <c r="S7" t="s">
        <v>407</v>
      </c>
      <c r="T7" s="5"/>
    </row>
    <row r="8" spans="1:20" x14ac:dyDescent="0.25">
      <c r="A8" s="4">
        <v>401700</v>
      </c>
      <c r="B8" s="4">
        <v>2</v>
      </c>
      <c r="C8" s="4">
        <v>0</v>
      </c>
      <c r="D8" t="s">
        <v>35</v>
      </c>
      <c r="E8" s="4" t="s">
        <v>35</v>
      </c>
      <c r="F8" t="s">
        <v>26</v>
      </c>
      <c r="G8">
        <v>1</v>
      </c>
      <c r="H8" s="7" t="s">
        <v>117</v>
      </c>
      <c r="I8">
        <v>300</v>
      </c>
      <c r="S8" t="s">
        <v>408</v>
      </c>
      <c r="T8" s="5"/>
    </row>
    <row r="9" spans="1:20" x14ac:dyDescent="0.25">
      <c r="A9" s="4">
        <v>401700</v>
      </c>
      <c r="B9" s="4">
        <v>2</v>
      </c>
      <c r="C9" s="4">
        <v>0</v>
      </c>
      <c r="D9" t="s">
        <v>31</v>
      </c>
      <c r="E9" s="4" t="s">
        <v>31</v>
      </c>
      <c r="F9" t="s">
        <v>26</v>
      </c>
      <c r="G9">
        <v>1</v>
      </c>
      <c r="H9" s="7" t="s">
        <v>117</v>
      </c>
      <c r="I9">
        <v>300</v>
      </c>
      <c r="S9" t="s">
        <v>409</v>
      </c>
      <c r="T9" s="5"/>
    </row>
    <row r="10" spans="1:20" x14ac:dyDescent="0.25">
      <c r="A10" s="4">
        <v>401700</v>
      </c>
      <c r="B10" s="4">
        <v>2</v>
      </c>
      <c r="C10" s="4">
        <v>0</v>
      </c>
      <c r="D10" t="s">
        <v>33</v>
      </c>
      <c r="E10" s="4" t="s">
        <v>33</v>
      </c>
      <c r="F10" t="s">
        <v>26</v>
      </c>
      <c r="G10">
        <v>1</v>
      </c>
      <c r="H10" s="7" t="s">
        <v>117</v>
      </c>
      <c r="I10">
        <v>300</v>
      </c>
      <c r="S10" t="s">
        <v>410</v>
      </c>
      <c r="T10" s="5"/>
    </row>
    <row r="11" spans="1:20" x14ac:dyDescent="0.25">
      <c r="A11" s="4">
        <v>401700</v>
      </c>
      <c r="B11" s="4">
        <v>2</v>
      </c>
      <c r="C11" s="4">
        <v>0</v>
      </c>
      <c r="D11" t="s">
        <v>36</v>
      </c>
      <c r="E11" s="4" t="s">
        <v>36</v>
      </c>
      <c r="F11" t="s">
        <v>26</v>
      </c>
      <c r="G11">
        <v>1</v>
      </c>
      <c r="H11" s="7" t="s">
        <v>117</v>
      </c>
      <c r="I11">
        <v>300</v>
      </c>
      <c r="S11" t="s">
        <v>411</v>
      </c>
      <c r="T11" s="5"/>
    </row>
    <row r="12" spans="1:20" x14ac:dyDescent="0.25">
      <c r="A12" s="4">
        <v>401700</v>
      </c>
      <c r="B12" s="4">
        <v>2</v>
      </c>
      <c r="C12" s="4">
        <v>0</v>
      </c>
      <c r="D12" t="s">
        <v>49</v>
      </c>
      <c r="E12" s="4" t="s">
        <v>49</v>
      </c>
      <c r="F12" t="s">
        <v>26</v>
      </c>
      <c r="G12">
        <v>1</v>
      </c>
      <c r="H12" s="7" t="s">
        <v>117</v>
      </c>
      <c r="I12">
        <v>300</v>
      </c>
      <c r="S12" t="s">
        <v>412</v>
      </c>
      <c r="T12" s="5"/>
    </row>
    <row r="13" spans="1:20" x14ac:dyDescent="0.25">
      <c r="A13" s="4">
        <v>401700</v>
      </c>
      <c r="B13" s="4">
        <v>2</v>
      </c>
      <c r="C13" s="4">
        <v>0</v>
      </c>
      <c r="D13" t="s">
        <v>57</v>
      </c>
      <c r="E13" s="4" t="s">
        <v>57</v>
      </c>
      <c r="F13" t="s">
        <v>26</v>
      </c>
      <c r="G13">
        <v>1</v>
      </c>
      <c r="H13" s="7" t="s">
        <v>117</v>
      </c>
      <c r="I13">
        <v>300</v>
      </c>
      <c r="S13" t="s">
        <v>413</v>
      </c>
      <c r="T13" s="5"/>
    </row>
    <row r="14" spans="1:20" x14ac:dyDescent="0.25">
      <c r="A14" s="4">
        <v>401700</v>
      </c>
      <c r="B14" s="4">
        <v>2</v>
      </c>
      <c r="C14" s="4">
        <v>0</v>
      </c>
      <c r="D14" t="s">
        <v>65</v>
      </c>
      <c r="E14" s="4" t="s">
        <v>65</v>
      </c>
      <c r="F14" t="s">
        <v>26</v>
      </c>
      <c r="G14">
        <v>1</v>
      </c>
      <c r="H14" s="7" t="s">
        <v>117</v>
      </c>
      <c r="I14">
        <v>300</v>
      </c>
      <c r="S14" t="s">
        <v>414</v>
      </c>
      <c r="T14" s="5"/>
    </row>
    <row r="15" spans="1:20" x14ac:dyDescent="0.25">
      <c r="A15" s="4">
        <v>401700</v>
      </c>
      <c r="B15" s="4">
        <v>2</v>
      </c>
      <c r="C15" s="4">
        <v>0</v>
      </c>
      <c r="D15" t="s">
        <v>54</v>
      </c>
      <c r="E15" s="4" t="s">
        <v>54</v>
      </c>
      <c r="F15" t="s">
        <v>26</v>
      </c>
      <c r="G15">
        <v>1</v>
      </c>
      <c r="H15" s="7" t="s">
        <v>117</v>
      </c>
      <c r="I15">
        <v>300</v>
      </c>
      <c r="S15" t="s">
        <v>415</v>
      </c>
      <c r="T15" s="5"/>
    </row>
    <row r="16" spans="1:20" x14ac:dyDescent="0.25">
      <c r="A16" s="4">
        <v>401700</v>
      </c>
      <c r="B16" s="4">
        <v>2</v>
      </c>
      <c r="C16" s="4">
        <v>0</v>
      </c>
      <c r="D16" t="s">
        <v>38</v>
      </c>
      <c r="E16" s="4" t="s">
        <v>38</v>
      </c>
      <c r="F16" t="s">
        <v>26</v>
      </c>
      <c r="G16">
        <v>1</v>
      </c>
      <c r="H16" s="7" t="s">
        <v>117</v>
      </c>
      <c r="I16">
        <v>300</v>
      </c>
      <c r="S16" t="s">
        <v>416</v>
      </c>
      <c r="T16" s="5"/>
    </row>
    <row r="17" spans="1:20" x14ac:dyDescent="0.25">
      <c r="A17" s="4">
        <v>401700</v>
      </c>
      <c r="B17" s="4">
        <v>2</v>
      </c>
      <c r="C17" s="4">
        <v>0</v>
      </c>
      <c r="D17" t="s">
        <v>77</v>
      </c>
      <c r="E17" s="4" t="s">
        <v>77</v>
      </c>
      <c r="F17" t="s">
        <v>26</v>
      </c>
      <c r="G17">
        <v>1</v>
      </c>
      <c r="H17" s="7" t="s">
        <v>117</v>
      </c>
      <c r="I17">
        <v>300</v>
      </c>
      <c r="S17" t="s">
        <v>417</v>
      </c>
      <c r="T17" s="5"/>
    </row>
    <row r="18" spans="1:20" x14ac:dyDescent="0.25">
      <c r="A18" s="4">
        <v>401700</v>
      </c>
      <c r="B18" s="4">
        <v>2</v>
      </c>
      <c r="C18" s="4">
        <v>0</v>
      </c>
      <c r="D18" t="s">
        <v>80</v>
      </c>
      <c r="E18" s="4" t="s">
        <v>80</v>
      </c>
      <c r="F18" t="s">
        <v>26</v>
      </c>
      <c r="G18">
        <v>1</v>
      </c>
      <c r="H18" s="7" t="s">
        <v>117</v>
      </c>
      <c r="I18">
        <v>300</v>
      </c>
      <c r="S18" t="s">
        <v>418</v>
      </c>
      <c r="T18" s="5"/>
    </row>
    <row r="19" spans="1:20" x14ac:dyDescent="0.25">
      <c r="A19" s="4">
        <v>401700</v>
      </c>
      <c r="B19" s="4">
        <v>2</v>
      </c>
      <c r="C19" s="4">
        <v>0</v>
      </c>
      <c r="D19" t="s">
        <v>72</v>
      </c>
      <c r="E19" s="4" t="s">
        <v>72</v>
      </c>
      <c r="F19" t="s">
        <v>26</v>
      </c>
      <c r="G19">
        <v>1</v>
      </c>
      <c r="H19" s="7" t="s">
        <v>117</v>
      </c>
      <c r="I19">
        <v>300</v>
      </c>
      <c r="S19" t="s">
        <v>419</v>
      </c>
      <c r="T19" s="5"/>
    </row>
    <row r="20" spans="1:20" x14ac:dyDescent="0.25">
      <c r="A20" s="4">
        <v>401700</v>
      </c>
      <c r="B20" s="4">
        <v>2</v>
      </c>
      <c r="C20" s="4">
        <v>0</v>
      </c>
      <c r="D20" t="s">
        <v>52</v>
      </c>
      <c r="E20" s="4" t="s">
        <v>52</v>
      </c>
      <c r="F20" t="s">
        <v>26</v>
      </c>
      <c r="G20">
        <v>1</v>
      </c>
      <c r="H20" s="7" t="s">
        <v>117</v>
      </c>
      <c r="I20">
        <v>300</v>
      </c>
      <c r="S20" t="s">
        <v>420</v>
      </c>
      <c r="T20" s="5"/>
    </row>
    <row r="21" spans="1:20" x14ac:dyDescent="0.25">
      <c r="A21" s="4">
        <v>401700</v>
      </c>
      <c r="B21" s="4">
        <v>2</v>
      </c>
      <c r="C21" s="4">
        <v>1</v>
      </c>
      <c r="D21" t="s">
        <v>430</v>
      </c>
      <c r="F21" t="s">
        <v>21</v>
      </c>
      <c r="G21">
        <v>1</v>
      </c>
      <c r="H21" t="s">
        <v>117</v>
      </c>
      <c r="I21">
        <v>300</v>
      </c>
      <c r="S21" s="6"/>
      <c r="T21" s="5"/>
    </row>
    <row r="22" spans="1:20" x14ac:dyDescent="0.25">
      <c r="A22" s="4">
        <v>401700</v>
      </c>
      <c r="B22" s="4">
        <v>2</v>
      </c>
      <c r="C22" s="4">
        <v>1</v>
      </c>
      <c r="D22" t="s">
        <v>421</v>
      </c>
      <c r="E22" s="4" t="s">
        <v>29</v>
      </c>
      <c r="F22" t="s">
        <v>26</v>
      </c>
      <c r="G22">
        <v>1</v>
      </c>
      <c r="H22" s="7" t="s">
        <v>117</v>
      </c>
      <c r="I22">
        <v>300</v>
      </c>
      <c r="S22" t="s">
        <v>567</v>
      </c>
    </row>
    <row r="23" spans="1:20" x14ac:dyDescent="0.25">
      <c r="A23" s="4">
        <v>401700</v>
      </c>
      <c r="B23" s="4">
        <v>2</v>
      </c>
      <c r="C23" s="4">
        <v>1</v>
      </c>
      <c r="D23" t="s">
        <v>422</v>
      </c>
      <c r="E23" s="4" t="s">
        <v>25</v>
      </c>
      <c r="F23" t="s">
        <v>26</v>
      </c>
      <c r="G23">
        <v>1</v>
      </c>
      <c r="H23" s="7" t="s">
        <v>117</v>
      </c>
      <c r="I23">
        <v>300</v>
      </c>
      <c r="S23" t="s">
        <v>568</v>
      </c>
    </row>
    <row r="24" spans="1:20" x14ac:dyDescent="0.25">
      <c r="A24" s="4">
        <v>401700</v>
      </c>
      <c r="B24" s="4">
        <v>2</v>
      </c>
      <c r="C24" s="4">
        <v>1</v>
      </c>
      <c r="D24" t="s">
        <v>423</v>
      </c>
      <c r="E24" s="4" t="s">
        <v>27</v>
      </c>
      <c r="F24" t="s">
        <v>26</v>
      </c>
      <c r="G24">
        <v>1</v>
      </c>
      <c r="H24" s="7" t="s">
        <v>117</v>
      </c>
      <c r="I24">
        <v>300</v>
      </c>
      <c r="S24" t="s">
        <v>569</v>
      </c>
    </row>
    <row r="25" spans="1:20" x14ac:dyDescent="0.25">
      <c r="A25" s="4">
        <v>401700</v>
      </c>
      <c r="B25" s="4">
        <v>2</v>
      </c>
      <c r="C25" s="4">
        <v>1</v>
      </c>
      <c r="D25" t="s">
        <v>424</v>
      </c>
      <c r="E25" s="4" t="s">
        <v>35</v>
      </c>
      <c r="F25" t="s">
        <v>26</v>
      </c>
      <c r="G25">
        <v>1</v>
      </c>
      <c r="H25" s="7" t="s">
        <v>117</v>
      </c>
      <c r="I25">
        <v>300</v>
      </c>
      <c r="S25" t="s">
        <v>570</v>
      </c>
    </row>
    <row r="26" spans="1:20" x14ac:dyDescent="0.25">
      <c r="A26" s="4">
        <v>401700</v>
      </c>
      <c r="B26" s="4">
        <v>2</v>
      </c>
      <c r="C26" s="4">
        <v>1</v>
      </c>
      <c r="D26" t="s">
        <v>425</v>
      </c>
      <c r="E26" s="4" t="s">
        <v>31</v>
      </c>
      <c r="F26" t="s">
        <v>26</v>
      </c>
      <c r="G26">
        <v>1</v>
      </c>
      <c r="H26" s="7" t="s">
        <v>117</v>
      </c>
      <c r="I26">
        <v>300</v>
      </c>
      <c r="S26" t="s">
        <v>571</v>
      </c>
    </row>
    <row r="27" spans="1:20" x14ac:dyDescent="0.25">
      <c r="A27" s="4">
        <v>401700</v>
      </c>
      <c r="B27" s="4">
        <v>2</v>
      </c>
      <c r="C27" s="4">
        <v>1</v>
      </c>
      <c r="D27" t="s">
        <v>426</v>
      </c>
      <c r="E27" s="4" t="s">
        <v>33</v>
      </c>
      <c r="F27" t="s">
        <v>26</v>
      </c>
      <c r="G27">
        <v>1</v>
      </c>
      <c r="H27" s="7" t="s">
        <v>117</v>
      </c>
      <c r="I27">
        <v>300</v>
      </c>
      <c r="S27" t="s">
        <v>572</v>
      </c>
    </row>
    <row r="28" spans="1:20" x14ac:dyDescent="0.25">
      <c r="A28" s="4">
        <v>401700</v>
      </c>
      <c r="B28" s="4">
        <v>2</v>
      </c>
      <c r="C28" s="4">
        <v>1</v>
      </c>
      <c r="D28" t="s">
        <v>427</v>
      </c>
      <c r="E28" s="4" t="s">
        <v>36</v>
      </c>
      <c r="F28" t="s">
        <v>26</v>
      </c>
      <c r="G28">
        <v>1</v>
      </c>
      <c r="H28" s="7" t="s">
        <v>117</v>
      </c>
      <c r="I28">
        <v>300</v>
      </c>
      <c r="S28" t="s">
        <v>573</v>
      </c>
    </row>
    <row r="29" spans="1:20" x14ac:dyDescent="0.25">
      <c r="A29" s="4">
        <v>401700</v>
      </c>
      <c r="B29" s="4">
        <v>2</v>
      </c>
      <c r="C29" s="4">
        <v>1</v>
      </c>
      <c r="D29" t="s">
        <v>428</v>
      </c>
      <c r="E29" s="4" t="s">
        <v>49</v>
      </c>
      <c r="F29" t="s">
        <v>26</v>
      </c>
      <c r="G29">
        <v>1</v>
      </c>
      <c r="H29" s="7" t="s">
        <v>117</v>
      </c>
      <c r="I29">
        <v>300</v>
      </c>
      <c r="S29" t="s">
        <v>574</v>
      </c>
    </row>
    <row r="30" spans="1:20" x14ac:dyDescent="0.25">
      <c r="A30" s="4">
        <v>401700</v>
      </c>
      <c r="B30" s="4">
        <v>2</v>
      </c>
      <c r="C30" s="4">
        <v>1</v>
      </c>
      <c r="D30" t="s">
        <v>587</v>
      </c>
      <c r="E30" s="4" t="s">
        <v>57</v>
      </c>
      <c r="F30" t="s">
        <v>26</v>
      </c>
      <c r="G30">
        <v>1</v>
      </c>
      <c r="H30" s="7" t="s">
        <v>117</v>
      </c>
      <c r="I30">
        <v>300</v>
      </c>
      <c r="S30" t="s">
        <v>575</v>
      </c>
    </row>
    <row r="31" spans="1:20" x14ac:dyDescent="0.25">
      <c r="A31" s="4">
        <v>401700</v>
      </c>
      <c r="B31" s="4">
        <v>2</v>
      </c>
      <c r="C31" s="4">
        <v>1</v>
      </c>
      <c r="D31" t="s">
        <v>588</v>
      </c>
      <c r="E31" s="4" t="s">
        <v>65</v>
      </c>
      <c r="F31" t="s">
        <v>26</v>
      </c>
      <c r="G31">
        <v>1</v>
      </c>
      <c r="H31" s="7" t="s">
        <v>117</v>
      </c>
      <c r="I31">
        <v>300</v>
      </c>
      <c r="S31" t="s">
        <v>576</v>
      </c>
    </row>
    <row r="32" spans="1:20" x14ac:dyDescent="0.25">
      <c r="A32" s="4">
        <v>401700</v>
      </c>
      <c r="B32" s="4">
        <v>2</v>
      </c>
      <c r="C32" s="4">
        <v>1</v>
      </c>
      <c r="D32" t="s">
        <v>589</v>
      </c>
      <c r="E32" s="4" t="s">
        <v>54</v>
      </c>
      <c r="F32" t="s">
        <v>26</v>
      </c>
      <c r="G32">
        <v>1</v>
      </c>
      <c r="H32" s="7" t="s">
        <v>117</v>
      </c>
      <c r="I32">
        <v>300</v>
      </c>
      <c r="S32" t="s">
        <v>577</v>
      </c>
    </row>
    <row r="33" spans="1:19" x14ac:dyDescent="0.25">
      <c r="A33" s="4">
        <v>401700</v>
      </c>
      <c r="B33" s="4">
        <v>2</v>
      </c>
      <c r="C33" s="4">
        <v>1</v>
      </c>
      <c r="D33" t="s">
        <v>590</v>
      </c>
      <c r="E33" s="4" t="s">
        <v>38</v>
      </c>
      <c r="F33" t="s">
        <v>26</v>
      </c>
      <c r="G33">
        <v>1</v>
      </c>
      <c r="H33" s="7" t="s">
        <v>117</v>
      </c>
      <c r="I33">
        <v>300</v>
      </c>
      <c r="S33" t="s">
        <v>578</v>
      </c>
    </row>
    <row r="34" spans="1:19" x14ac:dyDescent="0.25">
      <c r="A34" s="4">
        <v>401700</v>
      </c>
      <c r="B34" s="4">
        <v>2</v>
      </c>
      <c r="C34" s="4">
        <v>1</v>
      </c>
      <c r="D34" t="s">
        <v>455</v>
      </c>
      <c r="E34" s="4" t="s">
        <v>72</v>
      </c>
      <c r="F34" t="s">
        <v>26</v>
      </c>
      <c r="G34">
        <v>1</v>
      </c>
      <c r="H34" s="7" t="s">
        <v>117</v>
      </c>
      <c r="I34">
        <v>300</v>
      </c>
      <c r="S34" t="s">
        <v>457</v>
      </c>
    </row>
    <row r="35" spans="1:19" x14ac:dyDescent="0.25">
      <c r="A35" s="4">
        <v>401700</v>
      </c>
      <c r="B35" s="4">
        <v>2</v>
      </c>
      <c r="C35" s="4">
        <v>1</v>
      </c>
      <c r="D35" t="s">
        <v>434</v>
      </c>
      <c r="E35" s="4" t="s">
        <v>52</v>
      </c>
      <c r="F35" t="s">
        <v>26</v>
      </c>
      <c r="G35">
        <v>1</v>
      </c>
      <c r="H35" s="7" t="s">
        <v>117</v>
      </c>
      <c r="I35">
        <v>300</v>
      </c>
      <c r="S35" t="s">
        <v>456</v>
      </c>
    </row>
    <row r="36" spans="1:19" x14ac:dyDescent="0.25">
      <c r="A36" s="4">
        <v>402501</v>
      </c>
      <c r="B36" s="4">
        <v>17</v>
      </c>
      <c r="C36" s="4">
        <v>0</v>
      </c>
      <c r="D36" t="s">
        <v>579</v>
      </c>
      <c r="E36" s="4" t="s">
        <v>580</v>
      </c>
      <c r="F36" t="s">
        <v>581</v>
      </c>
      <c r="G36">
        <v>1</v>
      </c>
      <c r="H36" s="7" t="s">
        <v>117</v>
      </c>
      <c r="I36">
        <v>300</v>
      </c>
      <c r="S36" t="s">
        <v>582</v>
      </c>
    </row>
    <row r="37" spans="1:19" x14ac:dyDescent="0.25">
      <c r="A37" s="4">
        <v>402501</v>
      </c>
      <c r="B37" s="4">
        <v>17</v>
      </c>
      <c r="C37" s="4">
        <v>8</v>
      </c>
      <c r="D37" t="s">
        <v>583</v>
      </c>
      <c r="E37" s="4" t="s">
        <v>580</v>
      </c>
      <c r="F37" t="s">
        <v>581</v>
      </c>
      <c r="G37">
        <v>1</v>
      </c>
      <c r="H37" s="7" t="s">
        <v>117</v>
      </c>
      <c r="I37">
        <v>300</v>
      </c>
      <c r="S37" t="s">
        <v>584</v>
      </c>
    </row>
    <row r="38" spans="1:19" x14ac:dyDescent="0.25">
      <c r="A38" s="4">
        <v>402501</v>
      </c>
      <c r="B38" s="4">
        <v>17</v>
      </c>
      <c r="C38" s="4">
        <v>16</v>
      </c>
      <c r="D38" t="s">
        <v>585</v>
      </c>
      <c r="F38" t="s">
        <v>21</v>
      </c>
      <c r="G38">
        <v>1</v>
      </c>
      <c r="H38" s="7" t="s">
        <v>117</v>
      </c>
      <c r="I38">
        <v>300</v>
      </c>
      <c r="S38" t="s">
        <v>586</v>
      </c>
    </row>
  </sheetData>
  <pageMargins left="0.7" right="0.7" top="0.75" bottom="0.75" header="0.3" footer="0.3"/>
  <pageSetup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T13"/>
  <sheetViews>
    <sheetView workbookViewId="0">
      <selection activeCell="E9" sqref="E9"/>
    </sheetView>
  </sheetViews>
  <sheetFormatPr defaultRowHeight="15" x14ac:dyDescent="0.25"/>
  <cols>
    <col min="1" max="1" width="20.5703125" customWidth="1"/>
    <col min="2" max="2" width="11.140625" customWidth="1"/>
    <col min="3" max="4" width="13.5703125" customWidth="1"/>
    <col min="5" max="5" width="8.140625" bestFit="1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6.570312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7.42578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5">
        <v>404534</v>
      </c>
      <c r="B3" s="4"/>
      <c r="C3" s="4"/>
      <c r="D3" s="5" t="s">
        <v>192</v>
      </c>
      <c r="E3" s="5" t="s">
        <v>49</v>
      </c>
      <c r="F3" s="5" t="s">
        <v>26</v>
      </c>
      <c r="G3" s="5">
        <v>1</v>
      </c>
      <c r="H3" s="5" t="s">
        <v>22</v>
      </c>
      <c r="I3" s="5">
        <v>300</v>
      </c>
      <c r="J3" s="5"/>
      <c r="K3" s="5"/>
      <c r="L3" s="5"/>
      <c r="M3" s="5"/>
      <c r="N3" s="5"/>
      <c r="O3" s="5"/>
      <c r="P3" s="5"/>
      <c r="Q3" s="5"/>
      <c r="R3" s="5"/>
      <c r="S3" s="5" t="s">
        <v>113</v>
      </c>
      <c r="T3" s="5"/>
    </row>
    <row r="4" spans="1:20" x14ac:dyDescent="0.25">
      <c r="A4" s="5">
        <v>404534</v>
      </c>
      <c r="B4" s="4"/>
      <c r="C4" s="4"/>
      <c r="D4" s="5" t="s">
        <v>296</v>
      </c>
      <c r="E4" s="5"/>
      <c r="F4" s="5" t="s">
        <v>21</v>
      </c>
      <c r="G4" s="5">
        <v>1</v>
      </c>
      <c r="H4" s="4" t="s">
        <v>117</v>
      </c>
      <c r="I4" s="4">
        <v>99999990</v>
      </c>
      <c r="J4" s="5"/>
      <c r="K4" s="5"/>
      <c r="L4" s="5"/>
      <c r="M4" s="5"/>
      <c r="N4" s="5"/>
      <c r="O4" s="5"/>
      <c r="P4" s="5"/>
      <c r="Q4" s="5"/>
      <c r="R4" s="5"/>
      <c r="S4" s="5" t="s">
        <v>195</v>
      </c>
      <c r="T4" s="5"/>
    </row>
    <row r="5" spans="1:20" x14ac:dyDescent="0.25">
      <c r="A5" s="5">
        <v>404534</v>
      </c>
      <c r="B5" s="4"/>
      <c r="C5" s="4"/>
      <c r="D5" s="5" t="s">
        <v>193</v>
      </c>
      <c r="E5" s="5"/>
      <c r="F5" s="5" t="s">
        <v>21</v>
      </c>
      <c r="G5" s="5">
        <v>1</v>
      </c>
      <c r="H5" s="4" t="s">
        <v>117</v>
      </c>
      <c r="I5" s="4">
        <v>99999990</v>
      </c>
      <c r="J5" s="5"/>
      <c r="K5" s="5"/>
      <c r="L5" s="5"/>
      <c r="M5" s="5"/>
      <c r="N5" s="5"/>
      <c r="O5" s="5"/>
      <c r="P5" s="5"/>
      <c r="Q5" s="5"/>
      <c r="R5" s="5"/>
      <c r="S5" s="5" t="s">
        <v>43</v>
      </c>
      <c r="T5" s="5"/>
    </row>
    <row r="6" spans="1:20" x14ac:dyDescent="0.25">
      <c r="A6" s="5">
        <v>404534</v>
      </c>
      <c r="B6" s="4"/>
      <c r="C6" s="4"/>
      <c r="D6" s="4" t="s">
        <v>358</v>
      </c>
      <c r="E6" s="4"/>
      <c r="F6" s="4" t="s">
        <v>21</v>
      </c>
      <c r="G6" s="4">
        <v>1</v>
      </c>
      <c r="H6" s="4" t="s">
        <v>117</v>
      </c>
      <c r="I6" s="4">
        <v>99999990</v>
      </c>
      <c r="J6" s="4"/>
      <c r="K6" s="4"/>
      <c r="L6" s="4"/>
      <c r="M6" s="4"/>
      <c r="S6" s="6" t="s">
        <v>359</v>
      </c>
      <c r="T6" s="5"/>
    </row>
    <row r="7" spans="1:20" x14ac:dyDescent="0.25">
      <c r="A7" s="5">
        <v>404534</v>
      </c>
      <c r="B7" s="4"/>
      <c r="C7" s="4"/>
      <c r="D7" s="5" t="s">
        <v>297</v>
      </c>
      <c r="E7" s="5" t="s">
        <v>35</v>
      </c>
      <c r="F7" s="5" t="s">
        <v>26</v>
      </c>
      <c r="G7" s="5">
        <v>1</v>
      </c>
      <c r="H7" s="5" t="s">
        <v>22</v>
      </c>
      <c r="I7" s="5">
        <v>300</v>
      </c>
      <c r="J7" s="5"/>
      <c r="K7" s="5"/>
      <c r="L7" s="5"/>
      <c r="M7" s="5"/>
      <c r="N7" s="5"/>
      <c r="O7" s="5"/>
      <c r="P7" s="5"/>
      <c r="Q7" s="5"/>
      <c r="R7" s="5"/>
      <c r="S7" s="5" t="s">
        <v>298</v>
      </c>
      <c r="T7" s="5"/>
    </row>
    <row r="8" spans="1:20" x14ac:dyDescent="0.25">
      <c r="A8" s="5">
        <v>404534</v>
      </c>
      <c r="B8" s="4"/>
      <c r="C8" s="4"/>
      <c r="D8" s="5" t="s">
        <v>299</v>
      </c>
      <c r="E8" s="5" t="s">
        <v>27</v>
      </c>
      <c r="F8" s="5" t="s">
        <v>26</v>
      </c>
      <c r="G8" s="5">
        <v>1</v>
      </c>
      <c r="H8" s="5" t="s">
        <v>22</v>
      </c>
      <c r="I8" s="5">
        <v>300</v>
      </c>
      <c r="J8" s="5"/>
      <c r="K8" s="5"/>
      <c r="L8" s="5"/>
      <c r="M8" s="5"/>
      <c r="N8" s="5"/>
      <c r="O8" s="5"/>
      <c r="P8" s="5"/>
      <c r="Q8" s="5"/>
      <c r="R8" s="5"/>
      <c r="S8" s="5" t="s">
        <v>300</v>
      </c>
      <c r="T8" s="5"/>
    </row>
    <row r="9" spans="1:20" x14ac:dyDescent="0.25">
      <c r="A9" s="5">
        <v>404534</v>
      </c>
      <c r="B9" s="4"/>
      <c r="C9" s="4"/>
      <c r="D9" s="5" t="s">
        <v>200</v>
      </c>
      <c r="E9" s="105" t="s">
        <v>29</v>
      </c>
      <c r="F9" s="5" t="s">
        <v>26</v>
      </c>
      <c r="G9" s="5">
        <v>1</v>
      </c>
      <c r="H9" s="5" t="s">
        <v>22</v>
      </c>
      <c r="I9" s="5">
        <v>300</v>
      </c>
      <c r="J9" s="5"/>
      <c r="K9" s="5"/>
      <c r="L9" s="5"/>
      <c r="M9" s="5"/>
      <c r="N9" s="5"/>
      <c r="O9" s="5"/>
      <c r="P9" s="5"/>
      <c r="Q9" s="5"/>
      <c r="R9" s="5"/>
      <c r="S9" s="5" t="s">
        <v>301</v>
      </c>
      <c r="T9" s="5"/>
    </row>
    <row r="10" spans="1:20" x14ac:dyDescent="0.25">
      <c r="A10" s="5">
        <v>404534</v>
      </c>
      <c r="B10" s="5"/>
      <c r="C10" s="5"/>
      <c r="D10" s="5" t="s">
        <v>29</v>
      </c>
      <c r="E10" s="5"/>
      <c r="F10" s="5" t="s">
        <v>21</v>
      </c>
      <c r="G10" s="5">
        <v>1</v>
      </c>
      <c r="H10" s="4" t="s">
        <v>117</v>
      </c>
      <c r="I10" s="4">
        <v>99999990</v>
      </c>
      <c r="J10" s="5"/>
      <c r="K10" s="5"/>
      <c r="L10" s="5"/>
      <c r="M10" s="5"/>
      <c r="N10" s="5"/>
      <c r="O10" s="5"/>
      <c r="P10" s="5"/>
      <c r="Q10" s="5"/>
      <c r="R10" s="5"/>
      <c r="S10" s="5" t="s">
        <v>330</v>
      </c>
    </row>
    <row r="11" spans="1:20" x14ac:dyDescent="0.25">
      <c r="A11" s="5">
        <v>404534</v>
      </c>
      <c r="B11" s="5"/>
      <c r="C11" s="5"/>
      <c r="D11" s="5" t="s">
        <v>25</v>
      </c>
      <c r="E11" s="5"/>
      <c r="F11" s="5" t="s">
        <v>21</v>
      </c>
      <c r="G11" s="5">
        <v>1</v>
      </c>
      <c r="H11" s="4" t="s">
        <v>117</v>
      </c>
      <c r="I11" s="4">
        <v>99999990</v>
      </c>
      <c r="J11" s="5"/>
      <c r="K11" s="5"/>
      <c r="L11" s="5"/>
      <c r="M11" s="5"/>
      <c r="N11" s="5"/>
      <c r="O11" s="5"/>
      <c r="P11" s="5"/>
      <c r="Q11" s="5"/>
      <c r="R11" s="5"/>
      <c r="S11" s="5" t="s">
        <v>331</v>
      </c>
    </row>
    <row r="12" spans="1:20" x14ac:dyDescent="0.25">
      <c r="A12" s="5">
        <v>404534</v>
      </c>
      <c r="B12" s="5"/>
      <c r="C12" s="5"/>
      <c r="D12" s="5" t="s">
        <v>353</v>
      </c>
      <c r="E12" s="105" t="s">
        <v>31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354</v>
      </c>
    </row>
    <row r="13" spans="1:20" x14ac:dyDescent="0.25">
      <c r="A13" s="5">
        <v>404534</v>
      </c>
      <c r="B13" s="5"/>
      <c r="C13" s="5"/>
      <c r="D13" s="5" t="s">
        <v>488</v>
      </c>
      <c r="E13" s="105"/>
      <c r="F13" s="5" t="s">
        <v>21</v>
      </c>
      <c r="G13" s="5">
        <v>1</v>
      </c>
      <c r="H13" s="4" t="s">
        <v>117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485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2:T13"/>
  <sheetViews>
    <sheetView workbookViewId="0">
      <selection activeCell="D15" sqref="D15"/>
    </sheetView>
  </sheetViews>
  <sheetFormatPr defaultRowHeight="15" x14ac:dyDescent="0.25"/>
  <cols>
    <col min="1" max="1" width="18.85546875" customWidth="1"/>
    <col min="2" max="2" width="13" customWidth="1"/>
    <col min="3" max="3" width="14.5703125" customWidth="1"/>
    <col min="4" max="4" width="12.42578125" customWidth="1"/>
    <col min="7" max="7" width="17" customWidth="1"/>
    <col min="8" max="8" width="12" customWidth="1"/>
    <col min="13" max="13" width="16.5703125" customWidth="1"/>
    <col min="17" max="17" width="16.140625" customWidth="1"/>
    <col min="18" max="18" width="14.42578125" customWidth="1"/>
    <col min="19" max="19" width="25.42578125" customWidth="1"/>
    <col min="20" max="20" width="16.5703125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3" t="s">
        <v>18</v>
      </c>
      <c r="T2" s="3" t="s">
        <v>19</v>
      </c>
    </row>
    <row r="3" spans="1:20" x14ac:dyDescent="0.25">
      <c r="A3" s="4">
        <v>404534</v>
      </c>
      <c r="B3" s="4"/>
      <c r="C3" s="4"/>
      <c r="D3" s="4" t="s">
        <v>192</v>
      </c>
      <c r="E3" s="4" t="s">
        <v>52</v>
      </c>
      <c r="F3" s="4" t="s">
        <v>26</v>
      </c>
      <c r="G3" s="4">
        <v>1</v>
      </c>
      <c r="H3" s="4" t="s">
        <v>22</v>
      </c>
      <c r="I3" s="4">
        <v>300</v>
      </c>
      <c r="J3" s="4"/>
      <c r="K3" s="4"/>
      <c r="L3" s="4"/>
      <c r="M3" s="4"/>
      <c r="N3" s="4"/>
      <c r="O3" s="4"/>
      <c r="P3" s="4"/>
      <c r="Q3" s="4"/>
      <c r="R3" s="4"/>
      <c r="S3" t="s">
        <v>113</v>
      </c>
    </row>
    <row r="4" spans="1:20" x14ac:dyDescent="0.25">
      <c r="A4" s="4">
        <v>404534</v>
      </c>
      <c r="B4" s="4"/>
      <c r="C4" s="4"/>
      <c r="D4" s="4" t="s">
        <v>296</v>
      </c>
      <c r="E4" s="4"/>
      <c r="F4" s="4" t="s">
        <v>21</v>
      </c>
      <c r="G4" s="4">
        <v>1</v>
      </c>
      <c r="H4" s="4" t="s">
        <v>117</v>
      </c>
      <c r="I4" s="4">
        <v>99999990</v>
      </c>
      <c r="J4" s="4"/>
      <c r="K4" s="4"/>
      <c r="L4" s="4"/>
      <c r="M4" s="4"/>
      <c r="N4" s="4"/>
      <c r="O4" s="4"/>
      <c r="P4" s="4"/>
      <c r="Q4" s="4"/>
      <c r="R4" s="4"/>
      <c r="S4" t="s">
        <v>195</v>
      </c>
    </row>
    <row r="5" spans="1:20" x14ac:dyDescent="0.25">
      <c r="A5" s="4">
        <v>404534</v>
      </c>
      <c r="B5" s="4"/>
      <c r="C5" s="4"/>
      <c r="D5" s="4" t="s">
        <v>193</v>
      </c>
      <c r="E5" s="4"/>
      <c r="F5" s="4" t="s">
        <v>21</v>
      </c>
      <c r="G5" s="4">
        <v>1</v>
      </c>
      <c r="H5" s="4" t="s">
        <v>117</v>
      </c>
      <c r="I5" s="4">
        <v>99999990</v>
      </c>
      <c r="J5" s="4"/>
      <c r="K5" s="4"/>
      <c r="L5" s="4"/>
      <c r="M5" s="4"/>
      <c r="N5" s="4"/>
      <c r="O5" s="4"/>
      <c r="P5" s="4"/>
      <c r="Q5" s="4"/>
      <c r="R5" s="4"/>
      <c r="S5" t="s">
        <v>43</v>
      </c>
    </row>
    <row r="6" spans="1:20" x14ac:dyDescent="0.25">
      <c r="A6" s="4">
        <v>404534</v>
      </c>
      <c r="B6" s="4"/>
      <c r="C6" s="4"/>
      <c r="D6" s="4" t="s">
        <v>358</v>
      </c>
      <c r="E6" s="4"/>
      <c r="F6" s="4" t="s">
        <v>21</v>
      </c>
      <c r="G6" s="4">
        <v>1</v>
      </c>
      <c r="H6" s="4" t="s">
        <v>117</v>
      </c>
      <c r="I6" s="4">
        <v>99999990</v>
      </c>
      <c r="J6" s="4"/>
      <c r="K6" s="4"/>
      <c r="L6" s="4"/>
      <c r="M6" s="4"/>
      <c r="N6" s="4"/>
      <c r="O6" s="4"/>
      <c r="P6" s="4"/>
      <c r="Q6" s="4"/>
      <c r="R6" s="4"/>
      <c r="S6" s="6" t="s">
        <v>359</v>
      </c>
    </row>
    <row r="7" spans="1:20" x14ac:dyDescent="0.25">
      <c r="A7" s="4">
        <v>404534</v>
      </c>
      <c r="B7" s="4"/>
      <c r="C7" s="4"/>
      <c r="D7" s="4" t="s">
        <v>297</v>
      </c>
      <c r="E7" s="4" t="s">
        <v>38</v>
      </c>
      <c r="F7" s="4" t="s">
        <v>26</v>
      </c>
      <c r="G7" s="4">
        <v>1</v>
      </c>
      <c r="H7" s="4" t="s">
        <v>22</v>
      </c>
      <c r="I7" s="4">
        <v>300</v>
      </c>
      <c r="J7" s="4"/>
      <c r="K7" s="4"/>
      <c r="L7" s="4"/>
      <c r="M7" s="4"/>
      <c r="N7" s="4"/>
      <c r="O7" s="4"/>
      <c r="P7" s="4"/>
      <c r="Q7" s="4"/>
      <c r="R7" s="4"/>
      <c r="S7" t="s">
        <v>298</v>
      </c>
    </row>
    <row r="8" spans="1:20" x14ac:dyDescent="0.25">
      <c r="A8" s="4">
        <v>404534</v>
      </c>
      <c r="B8" s="4"/>
      <c r="C8" s="4"/>
      <c r="D8" s="4" t="s">
        <v>299</v>
      </c>
      <c r="E8" s="4" t="s">
        <v>54</v>
      </c>
      <c r="F8" s="4" t="s">
        <v>26</v>
      </c>
      <c r="G8" s="4">
        <v>1</v>
      </c>
      <c r="H8" s="4" t="s">
        <v>22</v>
      </c>
      <c r="I8" s="4">
        <v>300</v>
      </c>
      <c r="J8" s="4"/>
      <c r="K8" s="4"/>
      <c r="L8" s="4"/>
      <c r="M8" s="4"/>
      <c r="N8" s="4"/>
      <c r="O8" s="4"/>
      <c r="P8" s="4"/>
      <c r="Q8" s="4"/>
      <c r="R8" s="4"/>
      <c r="S8" t="s">
        <v>300</v>
      </c>
    </row>
    <row r="9" spans="1:20" x14ac:dyDescent="0.25">
      <c r="A9" s="4">
        <v>404534</v>
      </c>
      <c r="B9" s="4"/>
      <c r="C9" s="4"/>
      <c r="D9" s="4" t="s">
        <v>200</v>
      </c>
      <c r="E9" s="107" t="s">
        <v>57</v>
      </c>
      <c r="F9" s="4" t="s">
        <v>26</v>
      </c>
      <c r="G9" s="4">
        <v>1</v>
      </c>
      <c r="H9" s="4" t="s">
        <v>22</v>
      </c>
      <c r="I9" s="4">
        <v>300</v>
      </c>
      <c r="J9" s="4"/>
      <c r="K9" s="4"/>
      <c r="L9" s="4"/>
      <c r="M9" s="4"/>
      <c r="N9" s="4"/>
      <c r="O9" s="4"/>
      <c r="P9" s="4"/>
      <c r="Q9" s="4"/>
      <c r="R9" s="4"/>
      <c r="S9" t="s">
        <v>301</v>
      </c>
    </row>
    <row r="10" spans="1:20" x14ac:dyDescent="0.25">
      <c r="A10" s="4">
        <v>404534</v>
      </c>
      <c r="B10" s="4"/>
      <c r="C10" s="4"/>
      <c r="D10" s="4" t="s">
        <v>29</v>
      </c>
      <c r="E10" s="4"/>
      <c r="F10" s="4" t="s">
        <v>21</v>
      </c>
      <c r="G10" s="4">
        <v>1</v>
      </c>
      <c r="H10" s="4" t="s">
        <v>117</v>
      </c>
      <c r="I10" s="4">
        <v>99999990</v>
      </c>
      <c r="J10" s="4"/>
      <c r="K10" s="4"/>
      <c r="L10" s="4"/>
      <c r="M10" s="4"/>
      <c r="N10" s="4"/>
      <c r="O10" s="4"/>
      <c r="P10" s="4"/>
      <c r="Q10" s="4"/>
      <c r="R10" s="4"/>
      <c r="S10" s="6" t="s">
        <v>330</v>
      </c>
    </row>
    <row r="11" spans="1:20" x14ac:dyDescent="0.25">
      <c r="A11" s="4">
        <v>404534</v>
      </c>
      <c r="B11" s="4"/>
      <c r="C11" s="4"/>
      <c r="D11" s="4" t="s">
        <v>25</v>
      </c>
      <c r="E11" s="4"/>
      <c r="F11" s="4" t="s">
        <v>21</v>
      </c>
      <c r="G11" s="4">
        <v>1</v>
      </c>
      <c r="H11" s="4" t="s">
        <v>117</v>
      </c>
      <c r="I11" s="4">
        <v>99999990</v>
      </c>
      <c r="J11" s="4"/>
      <c r="K11" s="4"/>
      <c r="L11" s="4"/>
      <c r="M11" s="4"/>
      <c r="N11" s="4"/>
      <c r="O11" s="4"/>
      <c r="P11" s="4"/>
      <c r="Q11" s="4"/>
      <c r="R11" s="4"/>
      <c r="S11" s="6" t="s">
        <v>331</v>
      </c>
    </row>
    <row r="12" spans="1:20" x14ac:dyDescent="0.25">
      <c r="A12" s="5">
        <v>404534</v>
      </c>
      <c r="B12" s="5"/>
      <c r="C12" s="5"/>
      <c r="D12" s="5" t="s">
        <v>353</v>
      </c>
      <c r="E12" s="107" t="s">
        <v>77</v>
      </c>
      <c r="F12" s="5" t="s">
        <v>26</v>
      </c>
      <c r="G12" s="5">
        <v>1</v>
      </c>
      <c r="H12" s="5" t="s">
        <v>22</v>
      </c>
      <c r="I12" s="5">
        <v>300</v>
      </c>
      <c r="J12" s="5"/>
      <c r="K12" s="5"/>
      <c r="L12" s="5"/>
      <c r="M12" s="5"/>
      <c r="N12" s="5"/>
      <c r="O12" s="5"/>
      <c r="P12" s="5"/>
      <c r="Q12" s="5"/>
      <c r="R12" s="5"/>
      <c r="S12" s="5" t="s">
        <v>354</v>
      </c>
    </row>
    <row r="13" spans="1:20" x14ac:dyDescent="0.25">
      <c r="A13" s="5">
        <v>404534</v>
      </c>
      <c r="B13" s="5"/>
      <c r="C13" s="5"/>
      <c r="D13" s="5" t="s">
        <v>488</v>
      </c>
      <c r="E13" s="105"/>
      <c r="F13" s="5" t="s">
        <v>21</v>
      </c>
      <c r="G13" s="5">
        <v>1</v>
      </c>
      <c r="H13" s="4" t="s">
        <v>117</v>
      </c>
      <c r="I13" s="4">
        <v>99999990</v>
      </c>
      <c r="J13" s="5"/>
      <c r="K13" s="5"/>
      <c r="L13" s="5"/>
      <c r="M13" s="5"/>
      <c r="N13" s="5"/>
      <c r="O13" s="5"/>
      <c r="P13" s="5"/>
      <c r="Q13" s="5"/>
      <c r="R13" s="5"/>
      <c r="S13" s="5" t="s">
        <v>485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T8"/>
  <sheetViews>
    <sheetView workbookViewId="0">
      <selection activeCell="E25" sqref="E2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406822</v>
      </c>
      <c r="B3" s="4">
        <v>0</v>
      </c>
      <c r="C3" s="4">
        <v>16</v>
      </c>
      <c r="D3" t="s">
        <v>187</v>
      </c>
      <c r="F3" t="s">
        <v>26</v>
      </c>
      <c r="G3">
        <v>1</v>
      </c>
      <c r="H3" t="s">
        <v>117</v>
      </c>
      <c r="I3">
        <v>300</v>
      </c>
      <c r="S3" s="6" t="s">
        <v>680</v>
      </c>
      <c r="T3" s="5"/>
    </row>
    <row r="4" spans="1:20" x14ac:dyDescent="0.25">
      <c r="A4" s="4">
        <v>407497</v>
      </c>
      <c r="B4" s="4">
        <v>0</v>
      </c>
      <c r="C4" s="4">
        <v>8</v>
      </c>
      <c r="D4" t="s">
        <v>188</v>
      </c>
      <c r="F4" t="s">
        <v>26</v>
      </c>
      <c r="G4">
        <v>1</v>
      </c>
      <c r="H4" t="s">
        <v>117</v>
      </c>
      <c r="I4">
        <v>300</v>
      </c>
      <c r="S4" s="6" t="s">
        <v>681</v>
      </c>
      <c r="T4" s="5"/>
    </row>
    <row r="5" spans="1:20" x14ac:dyDescent="0.25">
      <c r="A5" s="4">
        <v>406814</v>
      </c>
      <c r="B5" s="4">
        <v>0</v>
      </c>
      <c r="C5" s="4">
        <v>1</v>
      </c>
      <c r="D5" t="s">
        <v>189</v>
      </c>
      <c r="F5" t="s">
        <v>26</v>
      </c>
      <c r="G5">
        <v>1</v>
      </c>
      <c r="H5" t="s">
        <v>117</v>
      </c>
      <c r="I5">
        <v>300</v>
      </c>
      <c r="S5" s="6" t="s">
        <v>682</v>
      </c>
      <c r="T5" s="5"/>
    </row>
    <row r="6" spans="1:20" x14ac:dyDescent="0.25">
      <c r="A6" s="4">
        <v>406798</v>
      </c>
      <c r="D6" t="s">
        <v>683</v>
      </c>
      <c r="F6" t="s">
        <v>26</v>
      </c>
      <c r="G6">
        <v>1</v>
      </c>
      <c r="H6" t="s">
        <v>117</v>
      </c>
      <c r="I6">
        <v>1000</v>
      </c>
      <c r="S6" s="6" t="s">
        <v>684</v>
      </c>
      <c r="T6" s="5"/>
    </row>
    <row r="7" spans="1:20" x14ac:dyDescent="0.25">
      <c r="A7" s="4">
        <v>406799</v>
      </c>
      <c r="D7" t="s">
        <v>685</v>
      </c>
      <c r="F7" t="s">
        <v>26</v>
      </c>
      <c r="G7">
        <v>1</v>
      </c>
      <c r="H7" t="s">
        <v>117</v>
      </c>
      <c r="I7">
        <v>1000</v>
      </c>
      <c r="S7" s="6" t="s">
        <v>686</v>
      </c>
      <c r="T7" s="5"/>
    </row>
    <row r="8" spans="1:20" x14ac:dyDescent="0.25">
      <c r="A8" s="4">
        <v>406800</v>
      </c>
      <c r="D8" t="s">
        <v>687</v>
      </c>
      <c r="F8" t="s">
        <v>26</v>
      </c>
      <c r="G8">
        <v>1</v>
      </c>
      <c r="H8" t="s">
        <v>117</v>
      </c>
      <c r="I8">
        <v>1000</v>
      </c>
      <c r="S8" s="6" t="s">
        <v>688</v>
      </c>
      <c r="T8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T8"/>
  <sheetViews>
    <sheetView workbookViewId="0">
      <selection activeCell="A3" sqref="A3:XFD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4.1406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407064</v>
      </c>
      <c r="B3" s="4">
        <f>1/16</f>
        <v>6.25E-2</v>
      </c>
      <c r="C3" s="4">
        <v>0</v>
      </c>
      <c r="D3" t="s">
        <v>184</v>
      </c>
      <c r="F3" t="s">
        <v>26</v>
      </c>
      <c r="G3">
        <v>1</v>
      </c>
      <c r="H3" t="s">
        <v>117</v>
      </c>
      <c r="I3">
        <v>300</v>
      </c>
      <c r="S3" s="6" t="s">
        <v>680</v>
      </c>
      <c r="T3" s="5"/>
    </row>
    <row r="4" spans="1:20" x14ac:dyDescent="0.25">
      <c r="A4" s="4">
        <v>407617</v>
      </c>
      <c r="B4" s="4">
        <f>1/16</f>
        <v>6.25E-2</v>
      </c>
      <c r="C4" s="4">
        <v>0</v>
      </c>
      <c r="D4" t="s">
        <v>185</v>
      </c>
      <c r="F4" t="s">
        <v>26</v>
      </c>
      <c r="G4">
        <v>1</v>
      </c>
      <c r="H4" t="s">
        <v>117</v>
      </c>
      <c r="I4">
        <v>300</v>
      </c>
      <c r="S4" s="6" t="s">
        <v>681</v>
      </c>
      <c r="T4" s="5"/>
    </row>
    <row r="5" spans="1:20" x14ac:dyDescent="0.25">
      <c r="A5" s="4">
        <v>407054</v>
      </c>
      <c r="B5" s="4">
        <f>1/16</f>
        <v>6.25E-2</v>
      </c>
      <c r="C5" s="4">
        <v>0</v>
      </c>
      <c r="D5" t="s">
        <v>186</v>
      </c>
      <c r="F5" t="s">
        <v>26</v>
      </c>
      <c r="G5">
        <v>1</v>
      </c>
      <c r="H5" t="s">
        <v>117</v>
      </c>
      <c r="I5">
        <v>300</v>
      </c>
      <c r="S5" s="6" t="s">
        <v>682</v>
      </c>
      <c r="T5" s="5"/>
    </row>
    <row r="6" spans="1:20" x14ac:dyDescent="0.25">
      <c r="D6" t="s">
        <v>692</v>
      </c>
      <c r="E6" s="4" t="s">
        <v>689</v>
      </c>
      <c r="F6" t="s">
        <v>26</v>
      </c>
      <c r="G6">
        <v>1</v>
      </c>
      <c r="H6" t="s">
        <v>117</v>
      </c>
      <c r="I6">
        <v>1000</v>
      </c>
      <c r="S6" s="6" t="s">
        <v>684</v>
      </c>
      <c r="T6" s="5"/>
    </row>
    <row r="7" spans="1:20" x14ac:dyDescent="0.25">
      <c r="D7" t="s">
        <v>693</v>
      </c>
      <c r="E7" s="4" t="s">
        <v>690</v>
      </c>
      <c r="F7" t="s">
        <v>26</v>
      </c>
      <c r="G7">
        <v>1</v>
      </c>
      <c r="H7" t="s">
        <v>117</v>
      </c>
      <c r="I7">
        <v>1000</v>
      </c>
      <c r="S7" t="s">
        <v>686</v>
      </c>
      <c r="T7" s="5"/>
    </row>
    <row r="8" spans="1:20" x14ac:dyDescent="0.25">
      <c r="D8" t="s">
        <v>694</v>
      </c>
      <c r="E8" s="4" t="s">
        <v>691</v>
      </c>
      <c r="F8" t="s">
        <v>26</v>
      </c>
      <c r="G8">
        <v>1</v>
      </c>
      <c r="H8" t="s">
        <v>117</v>
      </c>
      <c r="I8">
        <v>1000</v>
      </c>
      <c r="S8" t="s">
        <v>688</v>
      </c>
      <c r="T8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T7"/>
  <sheetViews>
    <sheetView topLeftCell="D1" workbookViewId="0">
      <selection activeCell="S6" sqref="S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407491</v>
      </c>
      <c r="B3" s="4">
        <v>0</v>
      </c>
      <c r="C3" s="4">
        <v>0</v>
      </c>
      <c r="D3" t="s">
        <v>361</v>
      </c>
      <c r="F3" t="s">
        <v>26</v>
      </c>
      <c r="G3">
        <v>1</v>
      </c>
      <c r="H3" t="s">
        <v>117</v>
      </c>
      <c r="I3">
        <v>300</v>
      </c>
      <c r="S3" s="6" t="s">
        <v>182</v>
      </c>
      <c r="T3" s="5"/>
    </row>
    <row r="4" spans="1:20" x14ac:dyDescent="0.25">
      <c r="A4" s="4">
        <v>406802</v>
      </c>
      <c r="B4" s="4">
        <v>0</v>
      </c>
      <c r="C4" s="4">
        <v>0</v>
      </c>
      <c r="D4" t="s">
        <v>362</v>
      </c>
      <c r="F4" t="s">
        <v>26</v>
      </c>
      <c r="G4">
        <v>1</v>
      </c>
      <c r="H4" t="s">
        <v>117</v>
      </c>
      <c r="I4">
        <v>300</v>
      </c>
      <c r="S4" s="6" t="s">
        <v>1013</v>
      </c>
      <c r="T4" s="5"/>
    </row>
    <row r="5" spans="1:20" x14ac:dyDescent="0.25">
      <c r="A5" s="8">
        <v>406808</v>
      </c>
      <c r="B5" s="4">
        <v>0</v>
      </c>
      <c r="C5" s="8">
        <v>0</v>
      </c>
      <c r="D5" s="7" t="s">
        <v>363</v>
      </c>
      <c r="E5" s="8"/>
      <c r="F5" s="7" t="s">
        <v>26</v>
      </c>
      <c r="G5" s="7">
        <v>1</v>
      </c>
      <c r="H5" t="s">
        <v>117</v>
      </c>
      <c r="I5">
        <v>300</v>
      </c>
      <c r="S5" s="6" t="s">
        <v>1014</v>
      </c>
      <c r="T5" s="5"/>
    </row>
    <row r="6" spans="1:20" x14ac:dyDescent="0.25">
      <c r="T6" s="5"/>
    </row>
    <row r="7" spans="1:20" x14ac:dyDescent="0.25">
      <c r="T7" s="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T5"/>
  <sheetViews>
    <sheetView workbookViewId="0">
      <selection activeCell="D24" sqref="D2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106">
        <v>406651</v>
      </c>
      <c r="B3" s="4">
        <f>1/16</f>
        <v>6.25E-2</v>
      </c>
      <c r="C3" s="4">
        <v>0</v>
      </c>
      <c r="D3" t="s">
        <v>360</v>
      </c>
      <c r="F3" t="s">
        <v>26</v>
      </c>
      <c r="G3">
        <v>1</v>
      </c>
      <c r="H3" t="s">
        <v>117</v>
      </c>
      <c r="I3">
        <v>300</v>
      </c>
      <c r="S3" s="6" t="s">
        <v>178</v>
      </c>
      <c r="T3" s="5"/>
    </row>
    <row r="4" spans="1:20" x14ac:dyDescent="0.25">
      <c r="T4" s="5"/>
    </row>
    <row r="5" spans="1:20" x14ac:dyDescent="0.25">
      <c r="T5" s="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T8"/>
  <sheetViews>
    <sheetView topLeftCell="F1" workbookViewId="0">
      <selection activeCell="G10" sqref="G1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7.5703125" customWidth="1"/>
    <col min="5" max="5" width="14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9.8554687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407441</v>
      </c>
      <c r="B3" s="4">
        <f>1/16</f>
        <v>6.25E-2</v>
      </c>
      <c r="C3" s="4">
        <v>0</v>
      </c>
      <c r="D3" t="s">
        <v>181</v>
      </c>
      <c r="F3" t="s">
        <v>26</v>
      </c>
      <c r="G3">
        <v>1</v>
      </c>
      <c r="H3" t="s">
        <v>117</v>
      </c>
      <c r="I3">
        <v>300</v>
      </c>
      <c r="S3" s="6" t="s">
        <v>681</v>
      </c>
      <c r="T3" s="5"/>
    </row>
    <row r="4" spans="1:20" x14ac:dyDescent="0.25">
      <c r="A4" s="4">
        <v>406651</v>
      </c>
      <c r="B4" s="4">
        <f>1/16</f>
        <v>6.25E-2</v>
      </c>
      <c r="C4" s="4">
        <v>0</v>
      </c>
      <c r="D4" t="s">
        <v>183</v>
      </c>
      <c r="F4" t="s">
        <v>26</v>
      </c>
      <c r="G4">
        <v>1</v>
      </c>
      <c r="H4" t="s">
        <v>117</v>
      </c>
      <c r="I4">
        <v>300</v>
      </c>
      <c r="S4" s="6" t="s">
        <v>682</v>
      </c>
      <c r="T4" s="5"/>
    </row>
    <row r="5" spans="1:20" x14ac:dyDescent="0.25">
      <c r="A5" s="8">
        <v>406654</v>
      </c>
      <c r="B5" s="8">
        <f>1/16</f>
        <v>6.25E-2</v>
      </c>
      <c r="C5" s="8">
        <v>0</v>
      </c>
      <c r="D5" s="7" t="s">
        <v>328</v>
      </c>
      <c r="E5" s="8"/>
      <c r="F5" s="7" t="s">
        <v>26</v>
      </c>
      <c r="G5" s="7">
        <v>1</v>
      </c>
      <c r="H5" t="s">
        <v>117</v>
      </c>
      <c r="I5">
        <v>300</v>
      </c>
      <c r="S5" s="6" t="s">
        <v>698</v>
      </c>
      <c r="T5" s="5"/>
    </row>
    <row r="6" spans="1:20" x14ac:dyDescent="0.25">
      <c r="A6" s="4">
        <v>406794</v>
      </c>
      <c r="D6" t="s">
        <v>695</v>
      </c>
      <c r="F6" t="s">
        <v>26</v>
      </c>
      <c r="G6">
        <v>1</v>
      </c>
      <c r="H6" t="s">
        <v>117</v>
      </c>
      <c r="I6">
        <v>1000</v>
      </c>
      <c r="S6" s="6" t="s">
        <v>699</v>
      </c>
      <c r="T6" s="5"/>
    </row>
    <row r="7" spans="1:20" x14ac:dyDescent="0.25">
      <c r="A7" s="4">
        <v>406795</v>
      </c>
      <c r="D7" t="s">
        <v>696</v>
      </c>
      <c r="F7" t="s">
        <v>26</v>
      </c>
      <c r="G7">
        <v>1</v>
      </c>
      <c r="H7" t="s">
        <v>117</v>
      </c>
      <c r="I7">
        <v>1000</v>
      </c>
      <c r="S7" s="6" t="s">
        <v>686</v>
      </c>
      <c r="T7" s="5"/>
    </row>
    <row r="8" spans="1:20" x14ac:dyDescent="0.25">
      <c r="A8" s="4">
        <v>406796</v>
      </c>
      <c r="D8" t="s">
        <v>697</v>
      </c>
      <c r="F8" t="s">
        <v>26</v>
      </c>
      <c r="G8">
        <v>1</v>
      </c>
      <c r="H8" t="s">
        <v>117</v>
      </c>
      <c r="I8">
        <v>1000</v>
      </c>
      <c r="S8" s="6" t="s">
        <v>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T47"/>
  <sheetViews>
    <sheetView zoomScale="70" zoomScaleNormal="70" workbookViewId="0">
      <selection activeCell="S5" sqref="S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112</v>
      </c>
      <c r="E3" s="4" t="s">
        <v>38</v>
      </c>
      <c r="F3" t="s">
        <v>26</v>
      </c>
      <c r="G3">
        <v>1</v>
      </c>
      <c r="H3" s="7" t="s">
        <v>117</v>
      </c>
      <c r="I3">
        <v>300</v>
      </c>
      <c r="S3" t="s">
        <v>113</v>
      </c>
      <c r="T3" s="5"/>
    </row>
    <row r="4" spans="1:20" x14ac:dyDescent="0.25">
      <c r="A4" s="4">
        <v>434001</v>
      </c>
      <c r="C4" s="4">
        <v>1</v>
      </c>
      <c r="D4" t="s">
        <v>114</v>
      </c>
      <c r="F4" t="s">
        <v>21</v>
      </c>
      <c r="G4">
        <v>1</v>
      </c>
      <c r="H4" s="7" t="s">
        <v>117</v>
      </c>
      <c r="I4">
        <v>300</v>
      </c>
      <c r="S4" t="s">
        <v>115</v>
      </c>
      <c r="T4" s="5"/>
    </row>
    <row r="5" spans="1:20" x14ac:dyDescent="0.25">
      <c r="A5" s="4">
        <v>434001</v>
      </c>
      <c r="C5" s="4">
        <v>0</v>
      </c>
      <c r="D5" t="s">
        <v>116</v>
      </c>
      <c r="F5" t="s">
        <v>21</v>
      </c>
      <c r="G5">
        <v>1</v>
      </c>
      <c r="H5" t="s">
        <v>117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118</v>
      </c>
      <c r="F6" t="s">
        <v>21</v>
      </c>
      <c r="G6">
        <v>1</v>
      </c>
      <c r="H6" s="7" t="s">
        <v>117</v>
      </c>
      <c r="I6">
        <v>300</v>
      </c>
      <c r="S6" t="s">
        <v>119</v>
      </c>
      <c r="T6" s="5"/>
    </row>
    <row r="7" spans="1:20" x14ac:dyDescent="0.25">
      <c r="A7" s="4">
        <v>434001</v>
      </c>
      <c r="C7" s="4">
        <v>1</v>
      </c>
      <c r="D7" t="s">
        <v>120</v>
      </c>
      <c r="E7" s="4" t="s">
        <v>38</v>
      </c>
      <c r="F7" t="s">
        <v>26</v>
      </c>
      <c r="G7">
        <v>1</v>
      </c>
      <c r="H7" s="7" t="s">
        <v>117</v>
      </c>
      <c r="I7">
        <v>300</v>
      </c>
      <c r="S7" t="s">
        <v>113</v>
      </c>
    </row>
    <row r="8" spans="1:20" x14ac:dyDescent="0.25">
      <c r="A8" s="4">
        <v>434001</v>
      </c>
      <c r="C8" s="4">
        <v>1</v>
      </c>
      <c r="D8" t="s">
        <v>121</v>
      </c>
      <c r="E8" s="4" t="s">
        <v>77</v>
      </c>
      <c r="F8" t="s">
        <v>26</v>
      </c>
      <c r="G8">
        <v>1</v>
      </c>
      <c r="H8" s="7" t="s">
        <v>117</v>
      </c>
      <c r="I8">
        <v>300</v>
      </c>
      <c r="S8" t="s">
        <v>122</v>
      </c>
    </row>
    <row r="9" spans="1:20" x14ac:dyDescent="0.25">
      <c r="A9" s="4">
        <v>434001</v>
      </c>
      <c r="C9" s="4">
        <v>1</v>
      </c>
      <c r="D9" t="s">
        <v>123</v>
      </c>
      <c r="E9" s="4" t="s">
        <v>31</v>
      </c>
      <c r="F9" t="s">
        <v>26</v>
      </c>
      <c r="G9">
        <v>1</v>
      </c>
      <c r="H9" s="7" t="s">
        <v>117</v>
      </c>
      <c r="I9">
        <v>300</v>
      </c>
      <c r="S9" t="s">
        <v>124</v>
      </c>
    </row>
    <row r="10" spans="1:20" x14ac:dyDescent="0.25">
      <c r="A10" s="4">
        <v>434001</v>
      </c>
      <c r="C10" s="4">
        <v>1</v>
      </c>
      <c r="D10" t="s">
        <v>125</v>
      </c>
      <c r="E10" s="4" t="s">
        <v>33</v>
      </c>
      <c r="F10" t="s">
        <v>26</v>
      </c>
      <c r="G10">
        <v>1</v>
      </c>
      <c r="H10" s="7" t="s">
        <v>117</v>
      </c>
      <c r="I10">
        <v>300</v>
      </c>
      <c r="S10" t="s">
        <v>126</v>
      </c>
    </row>
    <row r="11" spans="1:20" x14ac:dyDescent="0.25">
      <c r="A11" s="4">
        <v>434001</v>
      </c>
      <c r="C11" s="4">
        <v>0</v>
      </c>
      <c r="D11" t="s">
        <v>127</v>
      </c>
      <c r="E11" s="4" t="s">
        <v>49</v>
      </c>
      <c r="F11" t="s">
        <v>26</v>
      </c>
      <c r="G11">
        <v>1</v>
      </c>
      <c r="H11" s="7" t="s">
        <v>117</v>
      </c>
      <c r="I11">
        <v>300</v>
      </c>
      <c r="S11" t="s">
        <v>128</v>
      </c>
    </row>
    <row r="12" spans="1:20" ht="16.5" customHeight="1" x14ac:dyDescent="0.25">
      <c r="A12" s="4">
        <v>434001</v>
      </c>
      <c r="C12" s="4">
        <v>0</v>
      </c>
      <c r="D12" t="s">
        <v>129</v>
      </c>
      <c r="E12" s="4" t="s">
        <v>35</v>
      </c>
      <c r="F12" t="s">
        <v>26</v>
      </c>
      <c r="G12">
        <v>1</v>
      </c>
      <c r="H12" s="7" t="s">
        <v>117</v>
      </c>
      <c r="I12">
        <v>300</v>
      </c>
      <c r="S12" t="s">
        <v>130</v>
      </c>
    </row>
    <row r="13" spans="1:20" x14ac:dyDescent="0.25">
      <c r="A13" s="4">
        <v>434001</v>
      </c>
      <c r="C13" s="4">
        <v>0</v>
      </c>
      <c r="D13" t="s">
        <v>131</v>
      </c>
      <c r="E13" s="4" t="s">
        <v>77</v>
      </c>
      <c r="F13" t="s">
        <v>26</v>
      </c>
      <c r="G13">
        <v>1</v>
      </c>
      <c r="H13" s="7" t="s">
        <v>117</v>
      </c>
      <c r="I13">
        <v>300</v>
      </c>
      <c r="S13" t="s">
        <v>132</v>
      </c>
    </row>
    <row r="14" spans="1:20" x14ac:dyDescent="0.25">
      <c r="A14" s="4">
        <v>434001</v>
      </c>
      <c r="C14" s="4">
        <v>0</v>
      </c>
      <c r="D14" t="s">
        <v>133</v>
      </c>
      <c r="E14" s="4" t="s">
        <v>36</v>
      </c>
      <c r="F14" t="s">
        <v>26</v>
      </c>
      <c r="G14">
        <v>1</v>
      </c>
      <c r="H14" s="7" t="s">
        <v>117</v>
      </c>
      <c r="I14">
        <v>300</v>
      </c>
      <c r="S14" t="s">
        <v>134</v>
      </c>
    </row>
    <row r="15" spans="1:20" x14ac:dyDescent="0.25">
      <c r="A15" s="4">
        <v>434001</v>
      </c>
      <c r="C15" s="4">
        <v>0</v>
      </c>
      <c r="D15" t="s">
        <v>135</v>
      </c>
      <c r="E15" s="4" t="s">
        <v>31</v>
      </c>
      <c r="F15" t="s">
        <v>26</v>
      </c>
      <c r="G15">
        <v>1</v>
      </c>
      <c r="H15" s="7" t="s">
        <v>117</v>
      </c>
      <c r="I15">
        <v>300</v>
      </c>
      <c r="S15" t="s">
        <v>136</v>
      </c>
    </row>
    <row r="16" spans="1:20" x14ac:dyDescent="0.25">
      <c r="A16" s="4">
        <v>434001</v>
      </c>
      <c r="C16" s="4">
        <v>0</v>
      </c>
      <c r="D16" t="s">
        <v>137</v>
      </c>
      <c r="E16" s="4" t="s">
        <v>33</v>
      </c>
      <c r="F16" t="s">
        <v>26</v>
      </c>
      <c r="G16">
        <v>1</v>
      </c>
      <c r="H16" s="7" t="s">
        <v>117</v>
      </c>
      <c r="I16">
        <v>300</v>
      </c>
      <c r="S16" t="s">
        <v>136</v>
      </c>
    </row>
    <row r="17" spans="1:19" x14ac:dyDescent="0.25">
      <c r="A17" s="4">
        <v>434001</v>
      </c>
      <c r="C17" s="4">
        <v>0</v>
      </c>
      <c r="D17" t="s">
        <v>138</v>
      </c>
      <c r="E17" s="4" t="s">
        <v>54</v>
      </c>
      <c r="F17" t="s">
        <v>26</v>
      </c>
      <c r="G17">
        <v>1</v>
      </c>
      <c r="H17" s="7" t="s">
        <v>117</v>
      </c>
      <c r="I17">
        <v>300</v>
      </c>
      <c r="S17" t="s">
        <v>139</v>
      </c>
    </row>
    <row r="18" spans="1:19" x14ac:dyDescent="0.25">
      <c r="A18" s="4">
        <v>434001</v>
      </c>
      <c r="C18" s="4">
        <v>0</v>
      </c>
      <c r="D18" t="s">
        <v>140</v>
      </c>
      <c r="E18" s="4" t="s">
        <v>38</v>
      </c>
      <c r="F18" t="s">
        <v>26</v>
      </c>
      <c r="G18">
        <v>1</v>
      </c>
      <c r="H18" s="7" t="s">
        <v>117</v>
      </c>
      <c r="I18">
        <v>300</v>
      </c>
      <c r="S18" t="s">
        <v>141</v>
      </c>
    </row>
    <row r="19" spans="1:19" x14ac:dyDescent="0.25">
      <c r="A19" s="4">
        <v>434001</v>
      </c>
      <c r="C19" s="4">
        <v>0</v>
      </c>
      <c r="D19" t="s">
        <v>142</v>
      </c>
      <c r="E19" s="4" t="s">
        <v>65</v>
      </c>
      <c r="F19" t="s">
        <v>26</v>
      </c>
      <c r="G19">
        <v>1</v>
      </c>
      <c r="H19" s="7" t="s">
        <v>117</v>
      </c>
      <c r="I19">
        <v>300</v>
      </c>
      <c r="S19" t="s">
        <v>143</v>
      </c>
    </row>
    <row r="20" spans="1:19" x14ac:dyDescent="0.25">
      <c r="A20" s="4">
        <v>434001</v>
      </c>
      <c r="C20" s="4">
        <v>0</v>
      </c>
      <c r="D20" t="s">
        <v>144</v>
      </c>
      <c r="E20" s="4" t="s">
        <v>57</v>
      </c>
      <c r="F20" t="s">
        <v>26</v>
      </c>
      <c r="G20">
        <v>1</v>
      </c>
      <c r="H20" s="7" t="s">
        <v>117</v>
      </c>
      <c r="I20">
        <v>300</v>
      </c>
      <c r="S20" t="s">
        <v>145</v>
      </c>
    </row>
    <row r="21" spans="1:19" x14ac:dyDescent="0.25">
      <c r="A21" s="4">
        <v>434001</v>
      </c>
      <c r="C21" s="4">
        <v>0</v>
      </c>
      <c r="D21" t="s">
        <v>146</v>
      </c>
      <c r="E21" s="4" t="s">
        <v>72</v>
      </c>
      <c r="F21" t="s">
        <v>26</v>
      </c>
      <c r="G21">
        <v>1</v>
      </c>
      <c r="H21" s="7" t="s">
        <v>117</v>
      </c>
      <c r="I21">
        <v>300</v>
      </c>
      <c r="S21" t="s">
        <v>147</v>
      </c>
    </row>
    <row r="22" spans="1:19" x14ac:dyDescent="0.25">
      <c r="A22" s="4">
        <v>434001</v>
      </c>
      <c r="C22" s="4">
        <v>0</v>
      </c>
      <c r="D22" t="s">
        <v>148</v>
      </c>
      <c r="E22" s="4" t="s">
        <v>52</v>
      </c>
      <c r="F22" t="s">
        <v>26</v>
      </c>
      <c r="G22">
        <v>1</v>
      </c>
      <c r="H22" s="7" t="s">
        <v>117</v>
      </c>
      <c r="I22">
        <v>300</v>
      </c>
      <c r="S22" t="s">
        <v>149</v>
      </c>
    </row>
    <row r="23" spans="1:19" x14ac:dyDescent="0.25">
      <c r="A23" s="4">
        <v>434001</v>
      </c>
      <c r="C23" s="4">
        <v>0</v>
      </c>
      <c r="D23" t="s">
        <v>150</v>
      </c>
      <c r="E23" s="4" t="s">
        <v>80</v>
      </c>
      <c r="F23" t="s">
        <v>26</v>
      </c>
      <c r="G23">
        <v>1</v>
      </c>
      <c r="H23" s="7" t="s">
        <v>117</v>
      </c>
      <c r="I23">
        <v>300</v>
      </c>
      <c r="S23" t="s">
        <v>151</v>
      </c>
    </row>
    <row r="24" spans="1:19" x14ac:dyDescent="0.25">
      <c r="A24" s="8">
        <v>434001</v>
      </c>
      <c r="B24" s="8"/>
      <c r="C24" s="8">
        <v>1</v>
      </c>
      <c r="D24" s="7" t="s">
        <v>173</v>
      </c>
      <c r="E24" s="8" t="s">
        <v>57</v>
      </c>
      <c r="F24" s="7" t="s">
        <v>26</v>
      </c>
      <c r="G24" s="7">
        <v>1</v>
      </c>
      <c r="H24" s="7" t="s">
        <v>117</v>
      </c>
      <c r="I24" s="7">
        <v>300</v>
      </c>
      <c r="J24" s="7"/>
      <c r="K24" s="7"/>
      <c r="L24" s="7"/>
      <c r="M24" s="7"/>
      <c r="N24" s="7"/>
      <c r="O24" s="7"/>
      <c r="P24" s="7"/>
      <c r="Q24" s="7"/>
      <c r="R24" s="7"/>
      <c r="S24" s="7" t="s">
        <v>174</v>
      </c>
    </row>
    <row r="25" spans="1:19" x14ac:dyDescent="0.25">
      <c r="A25" s="8">
        <v>434001</v>
      </c>
      <c r="B25" s="8"/>
      <c r="C25" s="8">
        <v>1</v>
      </c>
      <c r="D25" s="7" t="s">
        <v>175</v>
      </c>
      <c r="E25" s="8" t="s">
        <v>65</v>
      </c>
      <c r="F25" s="7" t="s">
        <v>26</v>
      </c>
      <c r="G25" s="7">
        <v>1</v>
      </c>
      <c r="H25" s="7" t="s">
        <v>117</v>
      </c>
      <c r="I25" s="7">
        <v>300</v>
      </c>
      <c r="J25" s="7"/>
      <c r="K25" s="7"/>
      <c r="L25" s="7"/>
      <c r="M25" s="7"/>
      <c r="N25" s="7"/>
      <c r="O25" s="7"/>
      <c r="P25" s="7"/>
      <c r="Q25" s="7"/>
      <c r="R25" s="7"/>
      <c r="S25" s="7" t="s">
        <v>109</v>
      </c>
    </row>
    <row r="26" spans="1:19" x14ac:dyDescent="0.25">
      <c r="A26" s="96">
        <v>434001</v>
      </c>
      <c r="B26" s="96"/>
      <c r="C26" s="96">
        <v>1</v>
      </c>
      <c r="D26" s="97" t="s">
        <v>334</v>
      </c>
      <c r="E26" s="96" t="s">
        <v>54</v>
      </c>
      <c r="F26" s="97" t="s">
        <v>26</v>
      </c>
      <c r="G26" s="97">
        <v>1</v>
      </c>
      <c r="H26" s="97" t="s">
        <v>117</v>
      </c>
      <c r="I26" s="97">
        <v>300</v>
      </c>
      <c r="J26" s="97"/>
      <c r="K26" s="97"/>
      <c r="L26" s="97"/>
      <c r="M26" s="97"/>
      <c r="N26" s="97"/>
      <c r="O26" s="97"/>
      <c r="P26" s="97"/>
      <c r="Q26" s="97"/>
      <c r="R26" s="97"/>
      <c r="S26" s="97" t="s">
        <v>338</v>
      </c>
    </row>
    <row r="27" spans="1:19" x14ac:dyDescent="0.25">
      <c r="A27" s="96">
        <v>434001</v>
      </c>
      <c r="B27" s="96"/>
      <c r="C27" s="96">
        <v>1</v>
      </c>
      <c r="D27" s="97" t="s">
        <v>335</v>
      </c>
      <c r="E27" s="96" t="s">
        <v>72</v>
      </c>
      <c r="F27" s="97" t="s">
        <v>26</v>
      </c>
      <c r="G27" s="97">
        <v>1</v>
      </c>
      <c r="H27" s="97" t="s">
        <v>117</v>
      </c>
      <c r="I27" s="97">
        <v>300</v>
      </c>
      <c r="J27" s="97"/>
      <c r="K27" s="97"/>
      <c r="L27" s="97"/>
      <c r="M27" s="97"/>
      <c r="N27" s="97"/>
      <c r="O27" s="97"/>
      <c r="P27" s="97"/>
      <c r="Q27" s="97"/>
      <c r="R27" s="97"/>
      <c r="S27" s="97" t="s">
        <v>340</v>
      </c>
    </row>
    <row r="28" spans="1:19" x14ac:dyDescent="0.25">
      <c r="A28" s="96">
        <v>434001</v>
      </c>
      <c r="B28" s="96"/>
      <c r="C28" s="96">
        <v>1</v>
      </c>
      <c r="D28" s="97" t="s">
        <v>336</v>
      </c>
      <c r="E28" s="96" t="s">
        <v>80</v>
      </c>
      <c r="F28" s="97" t="s">
        <v>26</v>
      </c>
      <c r="G28" s="97">
        <v>1</v>
      </c>
      <c r="H28" s="97" t="s">
        <v>117</v>
      </c>
      <c r="I28" s="97">
        <v>300</v>
      </c>
      <c r="J28" s="97"/>
      <c r="K28" s="97"/>
      <c r="L28" s="97"/>
      <c r="M28" s="97"/>
      <c r="N28" s="97"/>
      <c r="O28" s="97"/>
      <c r="P28" s="97"/>
      <c r="Q28" s="97"/>
      <c r="R28" s="97"/>
      <c r="S28" s="97" t="s">
        <v>339</v>
      </c>
    </row>
    <row r="29" spans="1:19" x14ac:dyDescent="0.25">
      <c r="A29" s="96">
        <v>434001</v>
      </c>
      <c r="B29" s="96"/>
      <c r="C29" s="96">
        <v>1</v>
      </c>
      <c r="D29" s="97" t="s">
        <v>337</v>
      </c>
      <c r="E29" s="96" t="s">
        <v>52</v>
      </c>
      <c r="F29" s="97" t="s">
        <v>26</v>
      </c>
      <c r="G29" s="97">
        <v>1</v>
      </c>
      <c r="H29" s="97" t="s">
        <v>117</v>
      </c>
      <c r="I29" s="97">
        <v>300</v>
      </c>
      <c r="J29" s="97"/>
      <c r="K29" s="97"/>
      <c r="L29" s="97"/>
      <c r="M29" s="97"/>
      <c r="N29" s="97"/>
      <c r="O29" s="97"/>
      <c r="P29" s="97"/>
      <c r="Q29" s="97"/>
      <c r="R29" s="97"/>
      <c r="S29" s="97" t="s">
        <v>341</v>
      </c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T47"/>
  <sheetViews>
    <sheetView zoomScale="55" zoomScaleNormal="55" workbookViewId="0">
      <selection activeCell="G16" sqref="G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400001</v>
      </c>
      <c r="B3" s="4">
        <v>1</v>
      </c>
      <c r="C3" s="4">
        <v>0</v>
      </c>
      <c r="D3" t="s">
        <v>391</v>
      </c>
      <c r="F3" t="s">
        <v>21</v>
      </c>
      <c r="G3">
        <v>1</v>
      </c>
      <c r="H3" t="s">
        <v>117</v>
      </c>
      <c r="I3">
        <v>99999990</v>
      </c>
      <c r="S3" s="6" t="s">
        <v>359</v>
      </c>
      <c r="T3" s="5"/>
    </row>
    <row r="4" spans="1:20" x14ac:dyDescent="0.25">
      <c r="A4" s="13">
        <v>407200</v>
      </c>
      <c r="B4" s="13">
        <v>18</v>
      </c>
      <c r="C4" s="13">
        <v>0</v>
      </c>
      <c r="D4" s="12" t="s">
        <v>345</v>
      </c>
      <c r="E4" s="13"/>
      <c r="F4" s="12" t="s">
        <v>315</v>
      </c>
      <c r="G4" s="12">
        <v>1</v>
      </c>
      <c r="H4" t="s">
        <v>22</v>
      </c>
      <c r="I4" s="12">
        <v>300</v>
      </c>
      <c r="J4" s="12"/>
      <c r="K4" s="12"/>
      <c r="L4" s="12"/>
      <c r="M4" s="12"/>
      <c r="N4" s="12"/>
      <c r="O4" s="12"/>
      <c r="P4" s="12"/>
      <c r="Q4" s="12"/>
      <c r="R4" s="12"/>
      <c r="S4" s="12" t="s">
        <v>837</v>
      </c>
    </row>
    <row r="5" spans="1:20" x14ac:dyDescent="0.25">
      <c r="A5" s="13">
        <v>407200</v>
      </c>
      <c r="B5" s="13">
        <v>18</v>
      </c>
      <c r="C5" s="13">
        <v>2</v>
      </c>
      <c r="D5" s="12" t="s">
        <v>346</v>
      </c>
      <c r="E5" s="13"/>
      <c r="F5" s="12" t="s">
        <v>315</v>
      </c>
      <c r="G5" s="12">
        <v>1</v>
      </c>
      <c r="H5" t="s">
        <v>22</v>
      </c>
      <c r="I5" s="12">
        <v>300</v>
      </c>
      <c r="J5" s="12"/>
      <c r="K5" s="12"/>
      <c r="L5" s="12"/>
      <c r="M5" s="12"/>
      <c r="N5" s="12"/>
      <c r="O5" s="12"/>
      <c r="P5" s="12"/>
      <c r="Q5" s="12"/>
      <c r="R5" s="12"/>
      <c r="S5" s="12" t="s">
        <v>838</v>
      </c>
    </row>
    <row r="6" spans="1:20" x14ac:dyDescent="0.25">
      <c r="A6" s="13">
        <v>407200</v>
      </c>
      <c r="B6" s="13">
        <v>18</v>
      </c>
      <c r="C6" s="13">
        <v>4</v>
      </c>
      <c r="D6" s="12" t="s">
        <v>347</v>
      </c>
      <c r="E6" s="13"/>
      <c r="F6" s="12" t="s">
        <v>315</v>
      </c>
      <c r="G6" s="12">
        <v>1</v>
      </c>
      <c r="H6" t="s">
        <v>22</v>
      </c>
      <c r="I6" s="12">
        <v>300</v>
      </c>
      <c r="J6" s="12"/>
      <c r="K6" s="12"/>
      <c r="L6" s="12"/>
      <c r="M6" s="12"/>
      <c r="N6" s="12"/>
      <c r="O6" s="12"/>
      <c r="P6" s="12"/>
      <c r="Q6" s="12"/>
      <c r="R6" s="12"/>
      <c r="S6" s="12" t="s">
        <v>839</v>
      </c>
    </row>
    <row r="7" spans="1:20" x14ac:dyDescent="0.25">
      <c r="A7" s="13">
        <v>407200</v>
      </c>
      <c r="B7" s="13">
        <v>18</v>
      </c>
      <c r="C7" s="13">
        <v>6</v>
      </c>
      <c r="D7" s="12" t="s">
        <v>348</v>
      </c>
      <c r="E7" s="13"/>
      <c r="F7" s="12" t="s">
        <v>315</v>
      </c>
      <c r="G7" s="12">
        <v>1</v>
      </c>
      <c r="H7" t="s">
        <v>22</v>
      </c>
      <c r="I7" s="12">
        <v>300</v>
      </c>
      <c r="J7" s="12"/>
      <c r="K7" s="12"/>
      <c r="L7" s="12"/>
      <c r="M7" s="12"/>
      <c r="N7" s="12"/>
      <c r="O7" s="12"/>
      <c r="P7" s="12"/>
      <c r="Q7" s="12"/>
      <c r="R7" s="12"/>
      <c r="S7" s="12" t="s">
        <v>840</v>
      </c>
    </row>
    <row r="8" spans="1:20" x14ac:dyDescent="0.25">
      <c r="A8" s="13">
        <v>407200</v>
      </c>
      <c r="B8" s="13">
        <v>18</v>
      </c>
      <c r="C8" s="13">
        <v>8</v>
      </c>
      <c r="D8" s="12" t="s">
        <v>493</v>
      </c>
      <c r="E8" s="13"/>
      <c r="F8" s="12" t="s">
        <v>315</v>
      </c>
      <c r="G8" s="12">
        <v>1</v>
      </c>
      <c r="H8" t="s">
        <v>22</v>
      </c>
      <c r="I8" s="12">
        <v>300</v>
      </c>
      <c r="J8" s="12"/>
      <c r="K8" s="12"/>
      <c r="L8" s="12"/>
      <c r="M8" s="12"/>
      <c r="N8" s="12"/>
      <c r="O8" s="12"/>
      <c r="P8" s="12"/>
      <c r="Q8" s="12"/>
      <c r="R8" s="12"/>
      <c r="S8" s="12" t="s">
        <v>841</v>
      </c>
    </row>
    <row r="9" spans="1:20" x14ac:dyDescent="0.25">
      <c r="A9" s="13">
        <v>407200</v>
      </c>
      <c r="B9" s="13">
        <v>18</v>
      </c>
      <c r="C9" s="13">
        <v>10</v>
      </c>
      <c r="D9" s="12" t="s">
        <v>494</v>
      </c>
      <c r="E9" s="13"/>
      <c r="F9" s="12" t="s">
        <v>315</v>
      </c>
      <c r="G9" s="12">
        <v>1</v>
      </c>
      <c r="H9" t="s">
        <v>22</v>
      </c>
      <c r="I9" s="12">
        <v>300</v>
      </c>
      <c r="J9" s="12"/>
      <c r="K9" s="12"/>
      <c r="L9" s="12"/>
      <c r="M9" s="12"/>
      <c r="N9" s="12"/>
      <c r="O9" s="12"/>
      <c r="P9" s="12"/>
      <c r="Q9" s="12"/>
      <c r="R9" s="12"/>
      <c r="S9" s="12" t="s">
        <v>842</v>
      </c>
    </row>
    <row r="10" spans="1:20" x14ac:dyDescent="0.25">
      <c r="A10" s="13">
        <v>407200</v>
      </c>
      <c r="B10" s="13">
        <v>18</v>
      </c>
      <c r="C10" s="13">
        <v>12</v>
      </c>
      <c r="D10" s="12" t="s">
        <v>1262</v>
      </c>
      <c r="E10" s="13"/>
      <c r="F10" s="12" t="s">
        <v>315</v>
      </c>
      <c r="G10" s="12">
        <v>1</v>
      </c>
      <c r="H10" t="s">
        <v>22</v>
      </c>
      <c r="I10" s="12">
        <v>300</v>
      </c>
      <c r="J10" s="12"/>
      <c r="K10" s="12"/>
      <c r="L10" s="12"/>
      <c r="M10" s="12"/>
      <c r="N10" s="12"/>
      <c r="O10" s="12"/>
      <c r="P10" s="12"/>
      <c r="Q10" s="12"/>
      <c r="R10" s="12"/>
      <c r="S10" s="121" t="s">
        <v>1263</v>
      </c>
    </row>
    <row r="11" spans="1:20" x14ac:dyDescent="0.25">
      <c r="A11" s="13">
        <v>407200</v>
      </c>
      <c r="B11" s="13">
        <v>18</v>
      </c>
      <c r="C11" s="13">
        <v>14</v>
      </c>
      <c r="D11" s="12" t="s">
        <v>1264</v>
      </c>
      <c r="E11" s="13"/>
      <c r="F11" s="12" t="s">
        <v>315</v>
      </c>
      <c r="G11" s="12">
        <v>1</v>
      </c>
      <c r="H11" t="s">
        <v>22</v>
      </c>
      <c r="I11" s="12">
        <v>300</v>
      </c>
      <c r="J11" s="12"/>
      <c r="K11" s="12"/>
      <c r="L11" s="12"/>
      <c r="M11" s="12"/>
      <c r="N11" s="12"/>
      <c r="O11" s="12"/>
      <c r="P11" s="12"/>
      <c r="Q11" s="12"/>
      <c r="R11" s="12"/>
      <c r="S11" s="121" t="s">
        <v>1265</v>
      </c>
    </row>
    <row r="12" spans="1:20" x14ac:dyDescent="0.25">
      <c r="A12" s="13">
        <v>407200</v>
      </c>
      <c r="B12" s="13">
        <v>18</v>
      </c>
      <c r="C12" s="13">
        <v>16</v>
      </c>
      <c r="D12" s="12" t="s">
        <v>1266</v>
      </c>
      <c r="E12" s="13"/>
      <c r="F12" s="12" t="s">
        <v>315</v>
      </c>
      <c r="G12" s="12">
        <v>1</v>
      </c>
      <c r="H12" t="s">
        <v>22</v>
      </c>
      <c r="I12" s="12">
        <v>300</v>
      </c>
      <c r="J12" s="12"/>
      <c r="K12" s="12"/>
      <c r="L12" s="12"/>
      <c r="M12" s="12"/>
      <c r="N12" s="12"/>
      <c r="O12" s="12"/>
      <c r="P12" s="12"/>
      <c r="Q12" s="12"/>
      <c r="R12" s="12"/>
      <c r="S12" s="121" t="s">
        <v>1267</v>
      </c>
    </row>
    <row r="13" spans="1:20" x14ac:dyDescent="0.25">
      <c r="A13" s="13">
        <v>407393</v>
      </c>
      <c r="B13" s="13">
        <v>2</v>
      </c>
      <c r="C13" s="13">
        <v>0</v>
      </c>
      <c r="D13" s="12" t="s">
        <v>349</v>
      </c>
      <c r="E13" s="13"/>
      <c r="F13" s="12" t="s">
        <v>21</v>
      </c>
      <c r="G13" s="12">
        <v>1</v>
      </c>
      <c r="H13" t="s">
        <v>22</v>
      </c>
      <c r="I13" s="12">
        <v>300</v>
      </c>
      <c r="J13" s="12"/>
      <c r="K13" s="12"/>
      <c r="L13" s="12"/>
      <c r="M13" s="12"/>
      <c r="N13" s="12"/>
      <c r="O13" s="12"/>
      <c r="P13" s="12"/>
      <c r="Q13" s="12"/>
      <c r="R13" s="12"/>
      <c r="S13" s="12" t="s">
        <v>835</v>
      </c>
    </row>
    <row r="14" spans="1:20" x14ac:dyDescent="0.25">
      <c r="A14" s="13">
        <v>407393</v>
      </c>
      <c r="B14" s="13">
        <v>2</v>
      </c>
      <c r="C14" s="13">
        <v>1</v>
      </c>
      <c r="D14" s="12" t="s">
        <v>350</v>
      </c>
      <c r="E14" s="13"/>
      <c r="F14" s="12" t="s">
        <v>21</v>
      </c>
      <c r="G14" s="12">
        <v>1</v>
      </c>
      <c r="H14" t="s">
        <v>22</v>
      </c>
      <c r="I14" s="12">
        <v>300</v>
      </c>
      <c r="J14" s="12"/>
      <c r="K14" s="12"/>
      <c r="L14" s="12"/>
      <c r="M14" s="12"/>
      <c r="N14" s="12"/>
      <c r="O14" s="12"/>
      <c r="P14" s="12"/>
      <c r="Q14" s="12"/>
      <c r="R14" s="12"/>
      <c r="S14" s="12" t="s">
        <v>836</v>
      </c>
    </row>
    <row r="15" spans="1:20" x14ac:dyDescent="0.25">
      <c r="A15" s="13">
        <v>410706</v>
      </c>
      <c r="B15" s="13">
        <v>16</v>
      </c>
      <c r="C15" s="13">
        <v>0</v>
      </c>
      <c r="D15" s="12" t="s">
        <v>1260</v>
      </c>
      <c r="E15" s="13"/>
      <c r="F15" s="12" t="s">
        <v>315</v>
      </c>
      <c r="G15" s="12">
        <v>1</v>
      </c>
      <c r="H15" t="s">
        <v>22</v>
      </c>
      <c r="I15" s="12">
        <v>300</v>
      </c>
      <c r="J15" s="12"/>
      <c r="K15" s="12"/>
      <c r="L15" s="12"/>
      <c r="M15" s="12"/>
      <c r="N15" s="12"/>
      <c r="O15" s="12"/>
      <c r="P15" s="12"/>
      <c r="Q15" s="12"/>
      <c r="R15" s="12"/>
      <c r="S15" s="121" t="s">
        <v>1268</v>
      </c>
    </row>
    <row r="16" spans="1:20" x14ac:dyDescent="0.25">
      <c r="A16" s="13">
        <v>410706</v>
      </c>
      <c r="B16" s="13">
        <v>16</v>
      </c>
      <c r="C16" s="13">
        <v>2</v>
      </c>
      <c r="D16" s="12" t="s">
        <v>1261</v>
      </c>
      <c r="E16" s="13"/>
      <c r="F16" s="12" t="s">
        <v>315</v>
      </c>
      <c r="G16" s="12">
        <v>1</v>
      </c>
      <c r="H16" t="s">
        <v>22</v>
      </c>
      <c r="I16" s="12">
        <v>300</v>
      </c>
      <c r="J16" s="12"/>
      <c r="K16" s="12"/>
      <c r="L16" s="12"/>
      <c r="M16" s="12"/>
      <c r="N16" s="12"/>
      <c r="O16" s="12"/>
      <c r="P16" s="12"/>
      <c r="Q16" s="12"/>
      <c r="R16" s="12"/>
      <c r="S16" s="121" t="s">
        <v>1269</v>
      </c>
    </row>
    <row r="17" spans="1:19" x14ac:dyDescent="0.25">
      <c r="A17" s="13">
        <v>410706</v>
      </c>
      <c r="B17" s="13">
        <v>16</v>
      </c>
      <c r="C17" s="13">
        <v>4</v>
      </c>
      <c r="D17" s="12" t="s">
        <v>1270</v>
      </c>
      <c r="E17" s="13"/>
      <c r="F17" s="12" t="s">
        <v>315</v>
      </c>
      <c r="G17" s="12">
        <v>1</v>
      </c>
      <c r="H17" t="s">
        <v>22</v>
      </c>
      <c r="I17" s="12">
        <v>300</v>
      </c>
      <c r="J17" s="12"/>
      <c r="K17" s="12"/>
      <c r="L17" s="12"/>
      <c r="M17" s="12"/>
      <c r="N17" s="12"/>
      <c r="O17" s="12"/>
      <c r="P17" s="12"/>
      <c r="Q17" s="12"/>
      <c r="R17" s="12"/>
      <c r="S17" s="121" t="s">
        <v>1271</v>
      </c>
    </row>
    <row r="18" spans="1:19" x14ac:dyDescent="0.25">
      <c r="A18" s="13">
        <v>410706</v>
      </c>
      <c r="B18" s="13">
        <v>16</v>
      </c>
      <c r="C18" s="13">
        <v>6</v>
      </c>
      <c r="D18" s="12" t="s">
        <v>1272</v>
      </c>
      <c r="E18" s="13"/>
      <c r="F18" s="12" t="s">
        <v>315</v>
      </c>
      <c r="G18" s="12">
        <v>1</v>
      </c>
      <c r="H18" t="s">
        <v>22</v>
      </c>
      <c r="I18" s="12">
        <v>300</v>
      </c>
      <c r="J18" s="12"/>
      <c r="K18" s="12"/>
      <c r="L18" s="12"/>
      <c r="M18" s="12"/>
      <c r="N18" s="12"/>
      <c r="O18" s="12"/>
      <c r="P18" s="12"/>
      <c r="Q18" s="12"/>
      <c r="R18" s="12"/>
      <c r="S18" s="121" t="s">
        <v>1273</v>
      </c>
    </row>
    <row r="19" spans="1:19" x14ac:dyDescent="0.25">
      <c r="A19" s="13">
        <v>410706</v>
      </c>
      <c r="B19" s="13">
        <v>16</v>
      </c>
      <c r="C19" s="13">
        <v>8</v>
      </c>
      <c r="D19" s="12" t="s">
        <v>1274</v>
      </c>
      <c r="E19" s="13"/>
      <c r="F19" s="12" t="s">
        <v>315</v>
      </c>
      <c r="G19" s="12">
        <v>1</v>
      </c>
      <c r="H19" t="s">
        <v>22</v>
      </c>
      <c r="I19" s="12">
        <v>300</v>
      </c>
      <c r="J19" s="12"/>
      <c r="K19" s="12"/>
      <c r="L19" s="12"/>
      <c r="M19" s="12"/>
      <c r="N19" s="12"/>
      <c r="O19" s="12"/>
      <c r="P19" s="12"/>
      <c r="Q19" s="12"/>
      <c r="R19" s="12"/>
      <c r="S19" s="121" t="s">
        <v>1275</v>
      </c>
    </row>
    <row r="20" spans="1:19" x14ac:dyDescent="0.25">
      <c r="A20" s="13">
        <v>410706</v>
      </c>
      <c r="B20" s="13">
        <v>16</v>
      </c>
      <c r="C20" s="13">
        <v>10</v>
      </c>
      <c r="D20" s="12" t="s">
        <v>1276</v>
      </c>
      <c r="E20" s="13"/>
      <c r="F20" s="12" t="s">
        <v>315</v>
      </c>
      <c r="G20" s="12">
        <v>1</v>
      </c>
      <c r="H20" t="s">
        <v>22</v>
      </c>
      <c r="I20" s="12">
        <v>300</v>
      </c>
      <c r="J20" s="12"/>
      <c r="K20" s="12"/>
      <c r="L20" s="12"/>
      <c r="M20" s="12"/>
      <c r="N20" s="12"/>
      <c r="O20" s="12"/>
      <c r="P20" s="12"/>
      <c r="Q20" s="12"/>
      <c r="R20" s="12"/>
      <c r="S20" s="121" t="s">
        <v>1277</v>
      </c>
    </row>
    <row r="21" spans="1:19" x14ac:dyDescent="0.25">
      <c r="A21" s="13">
        <v>410706</v>
      </c>
      <c r="B21" s="13">
        <v>16</v>
      </c>
      <c r="C21" s="13">
        <v>12</v>
      </c>
      <c r="D21" s="12" t="s">
        <v>1278</v>
      </c>
      <c r="E21" s="13"/>
      <c r="F21" s="12" t="s">
        <v>315</v>
      </c>
      <c r="G21" s="12">
        <v>1</v>
      </c>
      <c r="H21" t="s">
        <v>22</v>
      </c>
      <c r="I21" s="12">
        <v>300</v>
      </c>
      <c r="J21" s="12"/>
      <c r="K21" s="12"/>
      <c r="L21" s="12"/>
      <c r="M21" s="12"/>
      <c r="N21" s="12"/>
      <c r="O21" s="12"/>
      <c r="P21" s="12"/>
      <c r="Q21" s="12"/>
      <c r="R21" s="12"/>
      <c r="S21" s="121" t="s">
        <v>1279</v>
      </c>
    </row>
    <row r="22" spans="1:19" x14ac:dyDescent="0.25">
      <c r="A22" s="13">
        <v>410706</v>
      </c>
      <c r="B22" s="13">
        <v>16</v>
      </c>
      <c r="C22" s="13">
        <v>14</v>
      </c>
      <c r="D22" s="12" t="s">
        <v>1280</v>
      </c>
      <c r="E22" s="13"/>
      <c r="F22" s="12" t="s">
        <v>315</v>
      </c>
      <c r="G22" s="12">
        <v>1</v>
      </c>
      <c r="H22" t="s">
        <v>22</v>
      </c>
      <c r="I22" s="12">
        <v>300</v>
      </c>
      <c r="J22" s="12"/>
      <c r="K22" s="12"/>
      <c r="L22" s="12"/>
      <c r="M22" s="12"/>
      <c r="N22" s="12"/>
      <c r="O22" s="12"/>
      <c r="P22" s="12"/>
      <c r="Q22" s="12"/>
      <c r="R22" s="12"/>
      <c r="S22" s="121" t="s">
        <v>1281</v>
      </c>
    </row>
    <row r="23" spans="1:19" x14ac:dyDescent="0.25">
      <c r="A23" s="13">
        <v>401501</v>
      </c>
      <c r="B23" s="13">
        <v>4</v>
      </c>
      <c r="C23" s="13">
        <v>0</v>
      </c>
      <c r="D23" s="12" t="s">
        <v>495</v>
      </c>
      <c r="E23" s="13" t="s">
        <v>29</v>
      </c>
      <c r="F23" s="110" t="s">
        <v>26</v>
      </c>
      <c r="G23" s="12">
        <v>1</v>
      </c>
      <c r="H23" t="s">
        <v>22</v>
      </c>
      <c r="I23" s="12">
        <v>300</v>
      </c>
      <c r="J23" s="12"/>
      <c r="K23" s="12"/>
      <c r="L23" s="12"/>
      <c r="M23" s="12"/>
      <c r="N23" s="12"/>
      <c r="O23" s="12"/>
      <c r="P23" s="12"/>
      <c r="Q23" s="12"/>
      <c r="R23" s="12"/>
      <c r="S23" s="12" t="s">
        <v>519</v>
      </c>
    </row>
    <row r="24" spans="1:19" x14ac:dyDescent="0.25">
      <c r="A24" s="13">
        <v>401501</v>
      </c>
      <c r="B24" s="13">
        <v>4</v>
      </c>
      <c r="C24" s="13">
        <v>0</v>
      </c>
      <c r="D24" s="12" t="s">
        <v>496</v>
      </c>
      <c r="E24" s="13" t="s">
        <v>25</v>
      </c>
      <c r="F24" s="110" t="s">
        <v>26</v>
      </c>
      <c r="G24" s="12">
        <v>1</v>
      </c>
      <c r="H24" t="s">
        <v>22</v>
      </c>
      <c r="I24" s="12">
        <v>300</v>
      </c>
      <c r="J24" s="12"/>
      <c r="K24" s="12"/>
      <c r="L24" s="12"/>
      <c r="M24" s="12"/>
      <c r="N24" s="12"/>
      <c r="O24" s="12"/>
      <c r="P24" s="12"/>
      <c r="Q24" s="12"/>
      <c r="R24" s="12"/>
      <c r="S24" s="12" t="s">
        <v>520</v>
      </c>
    </row>
    <row r="25" spans="1:19" x14ac:dyDescent="0.25">
      <c r="A25" s="13">
        <v>401501</v>
      </c>
      <c r="B25" s="13">
        <v>4</v>
      </c>
      <c r="C25" s="13">
        <v>0</v>
      </c>
      <c r="D25" s="12" t="s">
        <v>497</v>
      </c>
      <c r="E25" s="13" t="s">
        <v>27</v>
      </c>
      <c r="F25" s="110" t="s">
        <v>26</v>
      </c>
      <c r="G25" s="12">
        <v>1</v>
      </c>
      <c r="H25" t="s">
        <v>22</v>
      </c>
      <c r="I25" s="12">
        <v>300</v>
      </c>
      <c r="J25" s="12"/>
      <c r="K25" s="12"/>
      <c r="L25" s="12"/>
      <c r="M25" s="12"/>
      <c r="N25" s="12"/>
      <c r="O25" s="12"/>
      <c r="P25" s="12"/>
      <c r="Q25" s="12"/>
      <c r="R25" s="12"/>
      <c r="S25" s="12" t="s">
        <v>521</v>
      </c>
    </row>
    <row r="26" spans="1:19" x14ac:dyDescent="0.25">
      <c r="A26" s="13">
        <v>401501</v>
      </c>
      <c r="B26" s="13">
        <v>4</v>
      </c>
      <c r="C26" s="13">
        <v>0</v>
      </c>
      <c r="D26" s="12" t="s">
        <v>498</v>
      </c>
      <c r="E26" s="13" t="s">
        <v>57</v>
      </c>
      <c r="F26" s="110" t="s">
        <v>26</v>
      </c>
      <c r="G26" s="12">
        <v>1</v>
      </c>
      <c r="H26" t="s">
        <v>22</v>
      </c>
      <c r="I26" s="12">
        <v>300</v>
      </c>
      <c r="J26" s="12"/>
      <c r="K26" s="12"/>
      <c r="L26" s="12"/>
      <c r="M26" s="12"/>
      <c r="N26" s="12"/>
      <c r="O26" s="12"/>
      <c r="P26" s="12"/>
      <c r="Q26" s="12"/>
      <c r="R26" s="12"/>
      <c r="S26" s="12" t="s">
        <v>522</v>
      </c>
    </row>
    <row r="27" spans="1:19" x14ac:dyDescent="0.25">
      <c r="A27" s="13">
        <v>401501</v>
      </c>
      <c r="B27" s="13">
        <v>4</v>
      </c>
      <c r="C27" s="13">
        <v>0</v>
      </c>
      <c r="D27" s="12" t="s">
        <v>499</v>
      </c>
      <c r="E27" s="13" t="s">
        <v>65</v>
      </c>
      <c r="F27" s="110" t="s">
        <v>26</v>
      </c>
      <c r="G27" s="12">
        <v>1</v>
      </c>
      <c r="H27" t="s">
        <v>22</v>
      </c>
      <c r="I27" s="12">
        <v>300</v>
      </c>
      <c r="J27" s="12"/>
      <c r="K27" s="12"/>
      <c r="L27" s="12"/>
      <c r="M27" s="12"/>
      <c r="N27" s="12"/>
      <c r="O27" s="12"/>
      <c r="P27" s="12"/>
      <c r="Q27" s="12"/>
      <c r="R27" s="12"/>
      <c r="S27" s="12" t="s">
        <v>523</v>
      </c>
    </row>
    <row r="28" spans="1:19" x14ac:dyDescent="0.25">
      <c r="A28" s="13">
        <v>401501</v>
      </c>
      <c r="B28" s="13">
        <v>4</v>
      </c>
      <c r="C28" s="13">
        <v>0</v>
      </c>
      <c r="D28" s="12" t="s">
        <v>500</v>
      </c>
      <c r="E28" s="13" t="s">
        <v>54</v>
      </c>
      <c r="F28" s="110" t="s">
        <v>26</v>
      </c>
      <c r="G28" s="12">
        <v>1</v>
      </c>
      <c r="H28" t="s">
        <v>22</v>
      </c>
      <c r="I28" s="12">
        <v>300</v>
      </c>
      <c r="J28" s="12"/>
      <c r="K28" s="12"/>
      <c r="L28" s="12"/>
      <c r="M28" s="12"/>
      <c r="N28" s="12"/>
      <c r="O28" s="12"/>
      <c r="P28" s="12"/>
      <c r="Q28" s="12"/>
      <c r="R28" s="12"/>
      <c r="S28" s="12" t="s">
        <v>524</v>
      </c>
    </row>
    <row r="29" spans="1:19" x14ac:dyDescent="0.25">
      <c r="A29" s="13">
        <v>401501</v>
      </c>
      <c r="B29" s="13">
        <v>4</v>
      </c>
      <c r="C29" s="13">
        <v>1</v>
      </c>
      <c r="D29" s="12" t="s">
        <v>501</v>
      </c>
      <c r="E29" s="13" t="s">
        <v>29</v>
      </c>
      <c r="F29" s="110" t="s">
        <v>26</v>
      </c>
      <c r="G29" s="12">
        <v>1</v>
      </c>
      <c r="H29" t="s">
        <v>22</v>
      </c>
      <c r="I29" s="12">
        <v>300</v>
      </c>
      <c r="J29" s="12"/>
      <c r="K29" s="12"/>
      <c r="L29" s="12"/>
      <c r="M29" s="12"/>
      <c r="N29" s="12"/>
      <c r="O29" s="12"/>
      <c r="P29" s="12"/>
      <c r="Q29" s="12"/>
      <c r="R29" s="12"/>
      <c r="S29" s="12" t="s">
        <v>525</v>
      </c>
    </row>
    <row r="30" spans="1:19" x14ac:dyDescent="0.25">
      <c r="A30" s="13">
        <v>401501</v>
      </c>
      <c r="B30" s="13">
        <v>4</v>
      </c>
      <c r="C30" s="13">
        <v>1</v>
      </c>
      <c r="D30" s="12" t="s">
        <v>502</v>
      </c>
      <c r="E30" s="13" t="s">
        <v>25</v>
      </c>
      <c r="F30" s="110" t="s">
        <v>26</v>
      </c>
      <c r="G30" s="12">
        <v>1</v>
      </c>
      <c r="H30" t="s">
        <v>22</v>
      </c>
      <c r="I30" s="12">
        <v>300</v>
      </c>
      <c r="J30" s="12"/>
      <c r="K30" s="12"/>
      <c r="L30" s="12"/>
      <c r="M30" s="12"/>
      <c r="N30" s="12"/>
      <c r="O30" s="12"/>
      <c r="P30" s="12"/>
      <c r="Q30" s="12"/>
      <c r="R30" s="12"/>
      <c r="S30" s="12" t="s">
        <v>526</v>
      </c>
    </row>
    <row r="31" spans="1:19" x14ac:dyDescent="0.25">
      <c r="A31" s="13">
        <v>401501</v>
      </c>
      <c r="B31" s="13">
        <v>4</v>
      </c>
      <c r="C31" s="13">
        <v>1</v>
      </c>
      <c r="D31" s="12" t="s">
        <v>503</v>
      </c>
      <c r="E31" s="13" t="s">
        <v>27</v>
      </c>
      <c r="F31" s="110" t="s">
        <v>26</v>
      </c>
      <c r="G31" s="12">
        <v>1</v>
      </c>
      <c r="H31" t="s">
        <v>22</v>
      </c>
      <c r="I31" s="12">
        <v>300</v>
      </c>
      <c r="J31" s="12"/>
      <c r="K31" s="12"/>
      <c r="L31" s="12"/>
      <c r="M31" s="12"/>
      <c r="N31" s="12"/>
      <c r="O31" s="12"/>
      <c r="P31" s="12"/>
      <c r="Q31" s="12"/>
      <c r="R31" s="12"/>
      <c r="S31" s="12" t="s">
        <v>527</v>
      </c>
    </row>
    <row r="32" spans="1:19" x14ac:dyDescent="0.25">
      <c r="A32" s="13">
        <v>401501</v>
      </c>
      <c r="B32" s="13">
        <v>4</v>
      </c>
      <c r="C32" s="13">
        <v>1</v>
      </c>
      <c r="D32" s="12" t="s">
        <v>504</v>
      </c>
      <c r="E32" s="13" t="s">
        <v>57</v>
      </c>
      <c r="F32" s="110" t="s">
        <v>26</v>
      </c>
      <c r="G32" s="12">
        <v>1</v>
      </c>
      <c r="H32" t="s">
        <v>22</v>
      </c>
      <c r="I32" s="12">
        <v>300</v>
      </c>
      <c r="J32" s="12"/>
      <c r="K32" s="12"/>
      <c r="L32" s="12"/>
      <c r="M32" s="12"/>
      <c r="N32" s="12"/>
      <c r="O32" s="12"/>
      <c r="P32" s="12"/>
      <c r="Q32" s="12"/>
      <c r="R32" s="12"/>
      <c r="S32" s="12" t="s">
        <v>528</v>
      </c>
    </row>
    <row r="33" spans="1:19" x14ac:dyDescent="0.25">
      <c r="A33" s="13">
        <v>401501</v>
      </c>
      <c r="B33" s="13">
        <v>4</v>
      </c>
      <c r="C33" s="13">
        <v>1</v>
      </c>
      <c r="D33" s="12" t="s">
        <v>505</v>
      </c>
      <c r="E33" s="13" t="s">
        <v>65</v>
      </c>
      <c r="F33" s="110" t="s">
        <v>26</v>
      </c>
      <c r="G33" s="12">
        <v>1</v>
      </c>
      <c r="H33" t="s">
        <v>22</v>
      </c>
      <c r="I33" s="12">
        <v>300</v>
      </c>
      <c r="J33" s="12"/>
      <c r="K33" s="12"/>
      <c r="L33" s="12"/>
      <c r="M33" s="12"/>
      <c r="N33" s="12"/>
      <c r="O33" s="12"/>
      <c r="P33" s="12"/>
      <c r="Q33" s="12"/>
      <c r="R33" s="12"/>
      <c r="S33" s="12" t="s">
        <v>529</v>
      </c>
    </row>
    <row r="34" spans="1:19" x14ac:dyDescent="0.25">
      <c r="A34" s="13">
        <v>401501</v>
      </c>
      <c r="B34" s="13">
        <v>4</v>
      </c>
      <c r="C34" s="13">
        <v>1</v>
      </c>
      <c r="D34" s="12" t="s">
        <v>506</v>
      </c>
      <c r="E34" s="13" t="s">
        <v>54</v>
      </c>
      <c r="F34" s="110" t="s">
        <v>26</v>
      </c>
      <c r="G34" s="12">
        <v>1</v>
      </c>
      <c r="H34" t="s">
        <v>22</v>
      </c>
      <c r="I34" s="12">
        <v>300</v>
      </c>
      <c r="J34" s="12"/>
      <c r="K34" s="12"/>
      <c r="L34" s="12"/>
      <c r="M34" s="12"/>
      <c r="N34" s="12"/>
      <c r="O34" s="12"/>
      <c r="P34" s="12"/>
      <c r="Q34" s="12"/>
      <c r="R34" s="12"/>
      <c r="S34" s="12" t="s">
        <v>530</v>
      </c>
    </row>
    <row r="35" spans="1:19" x14ac:dyDescent="0.25">
      <c r="A35" s="13">
        <v>401501</v>
      </c>
      <c r="B35" s="13">
        <v>4</v>
      </c>
      <c r="C35" s="13">
        <v>2</v>
      </c>
      <c r="D35" s="12" t="s">
        <v>507</v>
      </c>
      <c r="E35" s="13" t="s">
        <v>29</v>
      </c>
      <c r="F35" s="110" t="s">
        <v>26</v>
      </c>
      <c r="G35" s="12">
        <v>1</v>
      </c>
      <c r="H35" t="s">
        <v>22</v>
      </c>
      <c r="I35" s="12">
        <v>300</v>
      </c>
      <c r="J35" s="12"/>
      <c r="K35" s="12"/>
      <c r="L35" s="12"/>
      <c r="M35" s="12"/>
      <c r="N35" s="12"/>
      <c r="O35" s="12"/>
      <c r="P35" s="12"/>
      <c r="Q35" s="12"/>
      <c r="R35" s="12"/>
      <c r="S35" s="12" t="s">
        <v>531</v>
      </c>
    </row>
    <row r="36" spans="1:19" x14ac:dyDescent="0.25">
      <c r="A36" s="13">
        <v>401501</v>
      </c>
      <c r="B36" s="13">
        <v>4</v>
      </c>
      <c r="C36" s="13">
        <v>2</v>
      </c>
      <c r="D36" s="12" t="s">
        <v>508</v>
      </c>
      <c r="E36" s="13" t="s">
        <v>25</v>
      </c>
      <c r="F36" s="110" t="s">
        <v>26</v>
      </c>
      <c r="G36" s="12">
        <v>1</v>
      </c>
      <c r="H36" t="s">
        <v>22</v>
      </c>
      <c r="I36" s="12">
        <v>300</v>
      </c>
      <c r="J36" s="12"/>
      <c r="K36" s="12"/>
      <c r="L36" s="12"/>
      <c r="M36" s="12"/>
      <c r="N36" s="12"/>
      <c r="O36" s="12"/>
      <c r="P36" s="12"/>
      <c r="Q36" s="12"/>
      <c r="R36" s="12"/>
      <c r="S36" s="12" t="s">
        <v>532</v>
      </c>
    </row>
    <row r="37" spans="1:19" x14ac:dyDescent="0.25">
      <c r="A37" s="13">
        <v>401501</v>
      </c>
      <c r="B37" s="13">
        <v>4</v>
      </c>
      <c r="C37" s="13">
        <v>2</v>
      </c>
      <c r="D37" s="12" t="s">
        <v>509</v>
      </c>
      <c r="E37" s="13" t="s">
        <v>27</v>
      </c>
      <c r="F37" s="110" t="s">
        <v>26</v>
      </c>
      <c r="G37" s="12">
        <v>1</v>
      </c>
      <c r="H37" t="s">
        <v>22</v>
      </c>
      <c r="I37" s="12">
        <v>300</v>
      </c>
      <c r="J37" s="12"/>
      <c r="K37" s="12"/>
      <c r="L37" s="12"/>
      <c r="M37" s="12"/>
      <c r="N37" s="12"/>
      <c r="O37" s="12"/>
      <c r="P37" s="12"/>
      <c r="Q37" s="12"/>
      <c r="R37" s="12"/>
      <c r="S37" s="12" t="s">
        <v>533</v>
      </c>
    </row>
    <row r="38" spans="1:19" x14ac:dyDescent="0.25">
      <c r="A38" s="13">
        <v>401501</v>
      </c>
      <c r="B38" s="13">
        <v>4</v>
      </c>
      <c r="C38" s="13">
        <v>2</v>
      </c>
      <c r="D38" s="12" t="s">
        <v>510</v>
      </c>
      <c r="E38" s="13" t="s">
        <v>57</v>
      </c>
      <c r="F38" s="110" t="s">
        <v>26</v>
      </c>
      <c r="G38" s="12">
        <v>1</v>
      </c>
      <c r="H38" t="s">
        <v>22</v>
      </c>
      <c r="I38" s="12">
        <v>300</v>
      </c>
      <c r="J38" s="12"/>
      <c r="K38" s="12"/>
      <c r="L38" s="12"/>
      <c r="M38" s="12"/>
      <c r="N38" s="12"/>
      <c r="O38" s="12"/>
      <c r="P38" s="12"/>
      <c r="Q38" s="12"/>
      <c r="R38" s="12"/>
      <c r="S38" s="12" t="s">
        <v>534</v>
      </c>
    </row>
    <row r="39" spans="1:19" x14ac:dyDescent="0.25">
      <c r="A39" s="13">
        <v>401501</v>
      </c>
      <c r="B39" s="13">
        <v>4</v>
      </c>
      <c r="C39" s="13">
        <v>2</v>
      </c>
      <c r="D39" s="12" t="s">
        <v>511</v>
      </c>
      <c r="E39" s="13" t="s">
        <v>65</v>
      </c>
      <c r="F39" s="110" t="s">
        <v>26</v>
      </c>
      <c r="G39" s="12">
        <v>1</v>
      </c>
      <c r="H39" t="s">
        <v>22</v>
      </c>
      <c r="I39" s="12">
        <v>300</v>
      </c>
      <c r="J39" s="12"/>
      <c r="K39" s="12"/>
      <c r="L39" s="12"/>
      <c r="M39" s="12"/>
      <c r="N39" s="12"/>
      <c r="O39" s="12"/>
      <c r="P39" s="12"/>
      <c r="Q39" s="12"/>
      <c r="R39" s="12"/>
      <c r="S39" s="12" t="s">
        <v>535</v>
      </c>
    </row>
    <row r="40" spans="1:19" x14ac:dyDescent="0.25">
      <c r="A40" s="13">
        <v>401501</v>
      </c>
      <c r="B40" s="13">
        <v>4</v>
      </c>
      <c r="C40" s="13">
        <v>2</v>
      </c>
      <c r="D40" s="12" t="s">
        <v>512</v>
      </c>
      <c r="E40" s="13" t="s">
        <v>54</v>
      </c>
      <c r="F40" s="110" t="s">
        <v>26</v>
      </c>
      <c r="G40" s="12">
        <v>1</v>
      </c>
      <c r="H40" t="s">
        <v>22</v>
      </c>
      <c r="I40" s="12">
        <v>300</v>
      </c>
      <c r="J40" s="12"/>
      <c r="K40" s="12"/>
      <c r="L40" s="12"/>
      <c r="M40" s="12"/>
      <c r="N40" s="12"/>
      <c r="O40" s="12"/>
      <c r="P40" s="12"/>
      <c r="Q40" s="12"/>
      <c r="R40" s="12"/>
      <c r="S40" s="12" t="s">
        <v>536</v>
      </c>
    </row>
    <row r="41" spans="1:19" x14ac:dyDescent="0.25">
      <c r="A41" s="13">
        <v>401501</v>
      </c>
      <c r="B41" s="13">
        <v>4</v>
      </c>
      <c r="C41" s="13">
        <v>3</v>
      </c>
      <c r="D41" s="12" t="s">
        <v>513</v>
      </c>
      <c r="E41" s="13" t="s">
        <v>29</v>
      </c>
      <c r="F41" s="110" t="s">
        <v>26</v>
      </c>
      <c r="G41" s="12">
        <v>1</v>
      </c>
      <c r="H41" t="s">
        <v>22</v>
      </c>
      <c r="I41" s="12">
        <v>300</v>
      </c>
      <c r="J41" s="12"/>
      <c r="K41" s="12"/>
      <c r="L41" s="12"/>
      <c r="M41" s="12"/>
      <c r="N41" s="12"/>
      <c r="O41" s="12"/>
      <c r="P41" s="12"/>
      <c r="Q41" s="12"/>
      <c r="R41" s="12"/>
      <c r="S41" s="12" t="s">
        <v>537</v>
      </c>
    </row>
    <row r="42" spans="1:19" x14ac:dyDescent="0.25">
      <c r="A42" s="13">
        <v>401501</v>
      </c>
      <c r="B42" s="13">
        <v>4</v>
      </c>
      <c r="C42" s="13">
        <v>3</v>
      </c>
      <c r="D42" s="12" t="s">
        <v>514</v>
      </c>
      <c r="E42" s="13" t="s">
        <v>25</v>
      </c>
      <c r="F42" s="110" t="s">
        <v>26</v>
      </c>
      <c r="G42" s="12">
        <v>1</v>
      </c>
      <c r="H42" t="s">
        <v>22</v>
      </c>
      <c r="I42" s="12">
        <v>300</v>
      </c>
      <c r="J42" s="12"/>
      <c r="K42" s="12"/>
      <c r="L42" s="12"/>
      <c r="M42" s="12"/>
      <c r="N42" s="12"/>
      <c r="O42" s="12"/>
      <c r="P42" s="12"/>
      <c r="Q42" s="12"/>
      <c r="R42" s="12"/>
      <c r="S42" s="12" t="s">
        <v>538</v>
      </c>
    </row>
    <row r="43" spans="1:19" x14ac:dyDescent="0.25">
      <c r="A43" s="13">
        <v>401501</v>
      </c>
      <c r="B43" s="13">
        <v>4</v>
      </c>
      <c r="C43" s="13">
        <v>3</v>
      </c>
      <c r="D43" s="12" t="s">
        <v>515</v>
      </c>
      <c r="E43" s="13" t="s">
        <v>27</v>
      </c>
      <c r="F43" s="110" t="s">
        <v>26</v>
      </c>
      <c r="G43" s="12">
        <v>1</v>
      </c>
      <c r="H43" t="s">
        <v>22</v>
      </c>
      <c r="I43" s="12">
        <v>300</v>
      </c>
      <c r="J43" s="12"/>
      <c r="K43" s="12"/>
      <c r="L43" s="12"/>
      <c r="M43" s="12"/>
      <c r="N43" s="12"/>
      <c r="O43" s="12"/>
      <c r="P43" s="12"/>
      <c r="Q43" s="12"/>
      <c r="R43" s="12"/>
      <c r="S43" s="12" t="s">
        <v>539</v>
      </c>
    </row>
    <row r="44" spans="1:19" x14ac:dyDescent="0.25">
      <c r="A44" s="13">
        <v>401501</v>
      </c>
      <c r="B44" s="13">
        <v>4</v>
      </c>
      <c r="C44" s="13">
        <v>3</v>
      </c>
      <c r="D44" s="12" t="s">
        <v>516</v>
      </c>
      <c r="E44" s="13" t="s">
        <v>57</v>
      </c>
      <c r="F44" s="110" t="s">
        <v>26</v>
      </c>
      <c r="G44" s="12">
        <v>1</v>
      </c>
      <c r="H44" t="s">
        <v>22</v>
      </c>
      <c r="I44" s="12">
        <v>300</v>
      </c>
      <c r="J44" s="12"/>
      <c r="K44" s="12"/>
      <c r="L44" s="12"/>
      <c r="M44" s="12"/>
      <c r="N44" s="12"/>
      <c r="O44" s="12"/>
      <c r="P44" s="12"/>
      <c r="Q44" s="12"/>
      <c r="R44" s="12"/>
      <c r="S44" s="12" t="s">
        <v>540</v>
      </c>
    </row>
    <row r="45" spans="1:19" x14ac:dyDescent="0.25">
      <c r="A45" s="13">
        <v>401501</v>
      </c>
      <c r="B45" s="13">
        <v>4</v>
      </c>
      <c r="C45" s="13">
        <v>3</v>
      </c>
      <c r="D45" s="12" t="s">
        <v>517</v>
      </c>
      <c r="E45" s="13" t="s">
        <v>65</v>
      </c>
      <c r="F45" s="110" t="s">
        <v>26</v>
      </c>
      <c r="G45" s="12">
        <v>1</v>
      </c>
      <c r="H45" t="s">
        <v>22</v>
      </c>
      <c r="I45" s="12">
        <v>300</v>
      </c>
      <c r="J45" s="12"/>
      <c r="K45" s="12"/>
      <c r="L45" s="12"/>
      <c r="M45" s="12"/>
      <c r="N45" s="12"/>
      <c r="O45" s="12"/>
      <c r="P45" s="12"/>
      <c r="Q45" s="12"/>
      <c r="R45" s="12"/>
      <c r="S45" s="12" t="s">
        <v>541</v>
      </c>
    </row>
    <row r="46" spans="1:19" x14ac:dyDescent="0.25">
      <c r="A46" s="13">
        <v>401501</v>
      </c>
      <c r="B46" s="13">
        <v>4</v>
      </c>
      <c r="C46" s="13">
        <v>3</v>
      </c>
      <c r="D46" s="12" t="s">
        <v>518</v>
      </c>
      <c r="E46" s="13" t="s">
        <v>54</v>
      </c>
      <c r="F46" s="110" t="s">
        <v>26</v>
      </c>
      <c r="G46" s="12">
        <v>1</v>
      </c>
      <c r="H46" t="s">
        <v>22</v>
      </c>
      <c r="I46" s="12">
        <v>300</v>
      </c>
      <c r="J46" s="12"/>
      <c r="K46" s="12"/>
      <c r="L46" s="12"/>
      <c r="M46" s="12"/>
      <c r="N46" s="12"/>
      <c r="O46" s="12"/>
      <c r="P46" s="12"/>
      <c r="Q46" s="12"/>
      <c r="R46" s="12"/>
      <c r="S46" s="12" t="s">
        <v>542</v>
      </c>
    </row>
    <row r="47" spans="1:19" x14ac:dyDescent="0.25">
      <c r="A47" s="4">
        <v>401331</v>
      </c>
      <c r="B47" s="4">
        <v>1</v>
      </c>
      <c r="C47" s="4">
        <v>0</v>
      </c>
      <c r="D47" s="12" t="s">
        <v>701</v>
      </c>
      <c r="F47" s="12" t="s">
        <v>21</v>
      </c>
      <c r="G47" s="12">
        <v>1</v>
      </c>
      <c r="H47" t="s">
        <v>22</v>
      </c>
      <c r="I47" s="12">
        <v>300</v>
      </c>
      <c r="J47" s="12"/>
      <c r="K47" s="12"/>
      <c r="L47" s="12"/>
      <c r="M47" s="12"/>
      <c r="N47" s="12"/>
      <c r="O47" s="12"/>
      <c r="P47" s="12"/>
      <c r="Q47" s="12"/>
      <c r="R47" s="12"/>
      <c r="S47" s="12" t="s">
        <v>702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T13"/>
  <sheetViews>
    <sheetView zoomScaleNormal="100" workbookViewId="0">
      <pane ySplit="2" topLeftCell="A3" activePane="bottomLeft" state="frozen"/>
      <selection pane="bottomLeft" activeCell="G16" sqref="G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1</v>
      </c>
      <c r="D3" t="s">
        <v>37</v>
      </c>
      <c r="E3" s="4" t="s">
        <v>38</v>
      </c>
      <c r="F3" t="s">
        <v>26</v>
      </c>
      <c r="G3">
        <v>1</v>
      </c>
      <c r="H3" t="s">
        <v>117</v>
      </c>
      <c r="I3">
        <v>300</v>
      </c>
      <c r="S3" t="s">
        <v>39</v>
      </c>
      <c r="T3" s="5"/>
    </row>
    <row r="4" spans="1:20" x14ac:dyDescent="0.25">
      <c r="A4" s="4">
        <v>434001</v>
      </c>
      <c r="C4" s="4">
        <v>1</v>
      </c>
      <c r="D4" t="s">
        <v>40</v>
      </c>
      <c r="F4" t="s">
        <v>21</v>
      </c>
      <c r="G4">
        <v>1</v>
      </c>
      <c r="H4" t="s">
        <v>117</v>
      </c>
      <c r="I4">
        <v>300</v>
      </c>
      <c r="S4" t="s">
        <v>41</v>
      </c>
      <c r="T4" s="5"/>
    </row>
    <row r="5" spans="1:20" x14ac:dyDescent="0.25">
      <c r="A5" s="4">
        <v>434001</v>
      </c>
      <c r="C5" s="4">
        <v>0</v>
      </c>
      <c r="D5" t="s">
        <v>42</v>
      </c>
      <c r="F5" t="s">
        <v>21</v>
      </c>
      <c r="G5">
        <v>1</v>
      </c>
      <c r="H5" t="s">
        <v>117</v>
      </c>
      <c r="I5">
        <v>99999990</v>
      </c>
      <c r="S5" s="6" t="s">
        <v>43</v>
      </c>
      <c r="T5" s="5"/>
    </row>
    <row r="6" spans="1:20" x14ac:dyDescent="0.25">
      <c r="A6" s="4">
        <v>434001</v>
      </c>
      <c r="C6" s="4">
        <v>0</v>
      </c>
      <c r="D6" t="s">
        <v>44</v>
      </c>
      <c r="F6" t="s">
        <v>21</v>
      </c>
      <c r="G6">
        <v>1</v>
      </c>
      <c r="H6" t="s">
        <v>117</v>
      </c>
      <c r="I6">
        <v>99999990</v>
      </c>
      <c r="S6" s="6" t="s">
        <v>45</v>
      </c>
      <c r="T6" s="5"/>
    </row>
    <row r="7" spans="1:20" x14ac:dyDescent="0.25">
      <c r="A7" s="4">
        <v>434001</v>
      </c>
      <c r="C7" s="4">
        <v>0</v>
      </c>
      <c r="D7" t="s">
        <v>46</v>
      </c>
      <c r="F7" t="s">
        <v>21</v>
      </c>
      <c r="G7">
        <v>1</v>
      </c>
      <c r="H7" t="s">
        <v>117</v>
      </c>
      <c r="I7">
        <v>300</v>
      </c>
      <c r="S7" t="s">
        <v>47</v>
      </c>
      <c r="T7" s="5"/>
    </row>
    <row r="8" spans="1:20" x14ac:dyDescent="0.25">
      <c r="A8" s="4">
        <v>434001</v>
      </c>
      <c r="C8" s="4">
        <v>0</v>
      </c>
      <c r="D8" t="s">
        <v>48</v>
      </c>
      <c r="E8" s="4" t="s">
        <v>49</v>
      </c>
      <c r="F8" t="s">
        <v>26</v>
      </c>
      <c r="G8">
        <v>1</v>
      </c>
      <c r="H8" t="s">
        <v>117</v>
      </c>
      <c r="I8">
        <v>300</v>
      </c>
      <c r="S8" t="s">
        <v>50</v>
      </c>
    </row>
    <row r="9" spans="1:20" x14ac:dyDescent="0.25">
      <c r="A9" s="4">
        <v>434001</v>
      </c>
      <c r="C9" s="4">
        <v>0</v>
      </c>
      <c r="D9" t="s">
        <v>706</v>
      </c>
      <c r="E9" s="107" t="s">
        <v>72</v>
      </c>
      <c r="F9" t="s">
        <v>26</v>
      </c>
      <c r="G9">
        <v>1</v>
      </c>
      <c r="H9" t="s">
        <v>117</v>
      </c>
      <c r="I9">
        <v>300</v>
      </c>
      <c r="S9" t="s">
        <v>707</v>
      </c>
    </row>
    <row r="10" spans="1:20" x14ac:dyDescent="0.25">
      <c r="A10" s="4">
        <v>434001</v>
      </c>
      <c r="C10" s="4">
        <v>0</v>
      </c>
      <c r="D10" t="s">
        <v>51</v>
      </c>
      <c r="E10" s="4" t="s">
        <v>52</v>
      </c>
      <c r="F10" t="s">
        <v>26</v>
      </c>
      <c r="G10">
        <v>1</v>
      </c>
      <c r="H10" t="s">
        <v>117</v>
      </c>
      <c r="I10">
        <v>300</v>
      </c>
      <c r="S10" t="s">
        <v>708</v>
      </c>
    </row>
    <row r="11" spans="1:20" x14ac:dyDescent="0.25">
      <c r="A11" s="4">
        <v>434001</v>
      </c>
      <c r="C11" s="4">
        <v>0</v>
      </c>
      <c r="D11" t="s">
        <v>53</v>
      </c>
      <c r="E11" s="4" t="s">
        <v>54</v>
      </c>
      <c r="F11" t="s">
        <v>26</v>
      </c>
      <c r="G11">
        <v>1</v>
      </c>
      <c r="H11" t="s">
        <v>117</v>
      </c>
      <c r="I11">
        <v>300</v>
      </c>
      <c r="S11" t="s">
        <v>55</v>
      </c>
    </row>
    <row r="12" spans="1:20" x14ac:dyDescent="0.25">
      <c r="A12" s="4">
        <v>434001</v>
      </c>
      <c r="C12" s="4">
        <v>0</v>
      </c>
      <c r="D12" t="s">
        <v>56</v>
      </c>
      <c r="E12" s="4" t="s">
        <v>57</v>
      </c>
      <c r="F12" t="s">
        <v>26</v>
      </c>
      <c r="G12">
        <v>1</v>
      </c>
      <c r="H12" t="s">
        <v>117</v>
      </c>
      <c r="I12">
        <v>300</v>
      </c>
      <c r="S12" t="s">
        <v>58</v>
      </c>
    </row>
    <row r="13" spans="1:20" x14ac:dyDescent="0.25">
      <c r="A13" s="4">
        <v>434001</v>
      </c>
      <c r="C13" s="4">
        <v>1</v>
      </c>
      <c r="D13" t="s">
        <v>351</v>
      </c>
      <c r="E13" s="104" t="s">
        <v>52</v>
      </c>
      <c r="F13" t="s">
        <v>26</v>
      </c>
      <c r="G13">
        <v>1</v>
      </c>
      <c r="H13" t="s">
        <v>117</v>
      </c>
      <c r="I13">
        <v>300</v>
      </c>
      <c r="S13" t="s">
        <v>352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T4"/>
  <sheetViews>
    <sheetView workbookViewId="0">
      <selection activeCell="L17" sqref="L17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93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392</v>
      </c>
      <c r="F3" s="4" t="s">
        <v>21</v>
      </c>
      <c r="G3" s="4">
        <v>1</v>
      </c>
      <c r="H3" s="4" t="s">
        <v>117</v>
      </c>
      <c r="I3" s="108">
        <v>99999990</v>
      </c>
      <c r="S3" s="6" t="s">
        <v>359</v>
      </c>
      <c r="T3" s="5"/>
    </row>
    <row r="4" spans="1:20" x14ac:dyDescent="0.25">
      <c r="A4" s="5">
        <v>400001</v>
      </c>
      <c r="B4" s="10"/>
      <c r="C4" s="4">
        <v>0</v>
      </c>
      <c r="D4" t="s">
        <v>490</v>
      </c>
      <c r="F4" s="4" t="s">
        <v>21</v>
      </c>
      <c r="G4" s="4">
        <v>1</v>
      </c>
      <c r="H4" s="4" t="s">
        <v>117</v>
      </c>
      <c r="I4">
        <v>99999990</v>
      </c>
      <c r="S4" t="s">
        <v>485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T30"/>
  <sheetViews>
    <sheetView topLeftCell="C1" zoomScaleNormal="100" workbookViewId="0">
      <pane ySplit="2" topLeftCell="A3" activePane="bottomLeft" state="frozen"/>
      <selection pane="bottomLeft" activeCell="M30" sqref="M30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5.8554687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52.5703125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61</v>
      </c>
      <c r="F3" t="s">
        <v>21</v>
      </c>
      <c r="G3">
        <v>1</v>
      </c>
      <c r="H3" t="s">
        <v>117</v>
      </c>
      <c r="I3">
        <v>99999990</v>
      </c>
      <c r="S3" s="112" t="s">
        <v>43</v>
      </c>
      <c r="T3" s="5"/>
    </row>
    <row r="4" spans="1:20" x14ac:dyDescent="0.25">
      <c r="A4" s="4">
        <v>434001</v>
      </c>
      <c r="C4" s="4">
        <v>0</v>
      </c>
      <c r="D4" t="s">
        <v>62</v>
      </c>
      <c r="F4" t="s">
        <v>21</v>
      </c>
      <c r="G4">
        <v>1</v>
      </c>
      <c r="H4" t="s">
        <v>117</v>
      </c>
      <c r="I4">
        <v>99999990</v>
      </c>
      <c r="S4" s="112" t="s">
        <v>45</v>
      </c>
      <c r="T4" s="5"/>
    </row>
    <row r="5" spans="1:20" x14ac:dyDescent="0.25">
      <c r="A5" s="4">
        <v>434001</v>
      </c>
      <c r="C5" s="4">
        <v>0</v>
      </c>
      <c r="D5" t="s">
        <v>63</v>
      </c>
      <c r="F5" t="s">
        <v>21</v>
      </c>
      <c r="G5">
        <v>1</v>
      </c>
      <c r="H5" t="s">
        <v>117</v>
      </c>
      <c r="I5">
        <v>300</v>
      </c>
      <c r="S5" s="11" t="s">
        <v>64</v>
      </c>
    </row>
    <row r="6" spans="1:20" x14ac:dyDescent="0.25">
      <c r="A6" s="4">
        <v>434001</v>
      </c>
      <c r="C6" s="4">
        <v>0</v>
      </c>
      <c r="D6" t="s">
        <v>82</v>
      </c>
      <c r="E6" s="4" t="s">
        <v>31</v>
      </c>
      <c r="F6" t="s">
        <v>26</v>
      </c>
      <c r="G6">
        <v>1</v>
      </c>
      <c r="H6" t="s">
        <v>117</v>
      </c>
      <c r="I6">
        <v>300</v>
      </c>
      <c r="S6" s="11" t="s">
        <v>1029</v>
      </c>
    </row>
    <row r="7" spans="1:20" x14ac:dyDescent="0.25">
      <c r="A7" s="4">
        <v>434001</v>
      </c>
      <c r="C7" s="4">
        <v>0</v>
      </c>
      <c r="D7" t="s">
        <v>83</v>
      </c>
      <c r="E7" s="4" t="s">
        <v>33</v>
      </c>
      <c r="F7" t="s">
        <v>26</v>
      </c>
      <c r="G7">
        <v>1</v>
      </c>
      <c r="H7" t="s">
        <v>117</v>
      </c>
      <c r="I7">
        <v>300</v>
      </c>
      <c r="S7" s="11" t="s">
        <v>1030</v>
      </c>
    </row>
    <row r="8" spans="1:20" x14ac:dyDescent="0.25">
      <c r="A8" s="4">
        <v>434001</v>
      </c>
      <c r="C8" s="4">
        <v>0</v>
      </c>
      <c r="D8" t="s">
        <v>450</v>
      </c>
      <c r="E8" s="4" t="s">
        <v>36</v>
      </c>
      <c r="F8" t="s">
        <v>26</v>
      </c>
      <c r="G8">
        <v>1</v>
      </c>
      <c r="H8" t="s">
        <v>117</v>
      </c>
      <c r="I8">
        <v>300</v>
      </c>
      <c r="S8" s="11" t="s">
        <v>1028</v>
      </c>
    </row>
    <row r="9" spans="1:20" x14ac:dyDescent="0.25">
      <c r="A9" s="4">
        <v>434001</v>
      </c>
      <c r="C9" s="4">
        <v>0</v>
      </c>
      <c r="D9" t="s">
        <v>84</v>
      </c>
      <c r="E9" s="4" t="s">
        <v>54</v>
      </c>
      <c r="F9" t="s">
        <v>26</v>
      </c>
      <c r="G9">
        <v>1</v>
      </c>
      <c r="H9" t="s">
        <v>117</v>
      </c>
      <c r="I9">
        <v>300</v>
      </c>
      <c r="S9" s="11" t="s">
        <v>85</v>
      </c>
    </row>
    <row r="10" spans="1:20" x14ac:dyDescent="0.25">
      <c r="A10" s="4">
        <v>434001</v>
      </c>
      <c r="C10" s="4">
        <v>0</v>
      </c>
      <c r="D10" t="s">
        <v>66</v>
      </c>
      <c r="E10" s="4" t="s">
        <v>38</v>
      </c>
      <c r="F10" t="s">
        <v>26</v>
      </c>
      <c r="G10">
        <v>1</v>
      </c>
      <c r="H10" t="s">
        <v>117</v>
      </c>
      <c r="I10">
        <v>300</v>
      </c>
      <c r="S10" s="11" t="s">
        <v>67</v>
      </c>
    </row>
    <row r="11" spans="1:20" x14ac:dyDescent="0.25">
      <c r="A11" s="4">
        <v>434001</v>
      </c>
      <c r="C11" s="4">
        <v>0</v>
      </c>
      <c r="D11" t="s">
        <v>76</v>
      </c>
      <c r="E11" s="4" t="s">
        <v>77</v>
      </c>
      <c r="F11" t="s">
        <v>26</v>
      </c>
      <c r="G11">
        <v>1</v>
      </c>
      <c r="H11" t="s">
        <v>117</v>
      </c>
      <c r="I11">
        <v>300</v>
      </c>
      <c r="S11" s="11" t="s">
        <v>78</v>
      </c>
    </row>
    <row r="12" spans="1:20" x14ac:dyDescent="0.25">
      <c r="A12" s="4">
        <v>434001</v>
      </c>
      <c r="C12" s="4">
        <v>0</v>
      </c>
      <c r="D12" t="s">
        <v>79</v>
      </c>
      <c r="E12" s="4" t="s">
        <v>80</v>
      </c>
      <c r="F12" t="s">
        <v>26</v>
      </c>
      <c r="G12">
        <v>1</v>
      </c>
      <c r="H12" t="s">
        <v>117</v>
      </c>
      <c r="I12">
        <v>300</v>
      </c>
      <c r="S12" s="11" t="s">
        <v>81</v>
      </c>
    </row>
    <row r="13" spans="1:20" x14ac:dyDescent="0.25">
      <c r="A13" s="4">
        <v>434001</v>
      </c>
      <c r="C13" s="4">
        <v>0</v>
      </c>
      <c r="D13" t="s">
        <v>71</v>
      </c>
      <c r="E13" s="4" t="s">
        <v>72</v>
      </c>
      <c r="F13" t="s">
        <v>26</v>
      </c>
      <c r="G13">
        <v>1</v>
      </c>
      <c r="H13" t="s">
        <v>117</v>
      </c>
      <c r="I13">
        <v>300</v>
      </c>
      <c r="S13" s="11" t="s">
        <v>73</v>
      </c>
    </row>
    <row r="14" spans="1:20" x14ac:dyDescent="0.25">
      <c r="A14" s="4">
        <v>434001</v>
      </c>
      <c r="C14" s="4">
        <v>0</v>
      </c>
      <c r="D14" t="s">
        <v>74</v>
      </c>
      <c r="E14" s="4" t="s">
        <v>52</v>
      </c>
      <c r="F14" t="s">
        <v>26</v>
      </c>
      <c r="G14">
        <v>1</v>
      </c>
      <c r="H14" t="s">
        <v>117</v>
      </c>
      <c r="I14">
        <v>300</v>
      </c>
      <c r="S14" s="11" t="s">
        <v>75</v>
      </c>
    </row>
    <row r="15" spans="1:20" x14ac:dyDescent="0.25">
      <c r="A15" s="4">
        <v>434001</v>
      </c>
      <c r="C15" s="4">
        <v>1</v>
      </c>
      <c r="D15" t="s">
        <v>1019</v>
      </c>
      <c r="E15" s="105" t="s">
        <v>29</v>
      </c>
      <c r="F15" t="s">
        <v>26</v>
      </c>
      <c r="G15">
        <v>1</v>
      </c>
      <c r="H15" t="s">
        <v>117</v>
      </c>
      <c r="I15">
        <v>300</v>
      </c>
      <c r="S15" s="11" t="s">
        <v>1025</v>
      </c>
    </row>
    <row r="16" spans="1:20" x14ac:dyDescent="0.25">
      <c r="A16" s="4">
        <v>434001</v>
      </c>
      <c r="C16" s="4">
        <v>1</v>
      </c>
      <c r="D16" t="s">
        <v>1020</v>
      </c>
      <c r="E16" s="105" t="s">
        <v>25</v>
      </c>
      <c r="F16" t="s">
        <v>26</v>
      </c>
      <c r="G16">
        <v>1</v>
      </c>
      <c r="H16" t="s">
        <v>117</v>
      </c>
      <c r="I16">
        <v>300</v>
      </c>
      <c r="S16" s="11" t="s">
        <v>1024</v>
      </c>
    </row>
    <row r="17" spans="1:20" x14ac:dyDescent="0.25">
      <c r="A17" s="4">
        <v>434001</v>
      </c>
      <c r="C17" s="4">
        <v>1</v>
      </c>
      <c r="D17" t="s">
        <v>1021</v>
      </c>
      <c r="E17" s="105" t="s">
        <v>27</v>
      </c>
      <c r="F17" t="s">
        <v>26</v>
      </c>
      <c r="G17">
        <v>1</v>
      </c>
      <c r="H17" t="s">
        <v>117</v>
      </c>
      <c r="I17">
        <v>300</v>
      </c>
      <c r="S17" s="11" t="s">
        <v>1026</v>
      </c>
    </row>
    <row r="18" spans="1:20" x14ac:dyDescent="0.25">
      <c r="A18" s="4">
        <v>434001</v>
      </c>
      <c r="C18" s="4">
        <v>1</v>
      </c>
      <c r="D18" t="s">
        <v>598</v>
      </c>
      <c r="E18" s="4" t="s">
        <v>35</v>
      </c>
      <c r="F18" t="s">
        <v>26</v>
      </c>
      <c r="G18">
        <v>1</v>
      </c>
      <c r="H18" t="s">
        <v>117</v>
      </c>
      <c r="I18">
        <v>300</v>
      </c>
      <c r="S18" s="11" t="s">
        <v>599</v>
      </c>
    </row>
    <row r="19" spans="1:20" x14ac:dyDescent="0.25">
      <c r="A19" s="4">
        <v>434001</v>
      </c>
      <c r="C19" s="4">
        <v>1</v>
      </c>
      <c r="D19" t="s">
        <v>431</v>
      </c>
      <c r="E19" s="4" t="s">
        <v>31</v>
      </c>
      <c r="F19" t="s">
        <v>26</v>
      </c>
      <c r="G19">
        <v>1</v>
      </c>
      <c r="H19" t="s">
        <v>117</v>
      </c>
      <c r="I19">
        <v>300</v>
      </c>
      <c r="S19" s="11" t="s">
        <v>1027</v>
      </c>
    </row>
    <row r="20" spans="1:20" x14ac:dyDescent="0.25">
      <c r="A20" s="4">
        <v>434001</v>
      </c>
      <c r="C20" s="4">
        <v>1</v>
      </c>
      <c r="D20" t="s">
        <v>432</v>
      </c>
      <c r="E20" s="4" t="s">
        <v>33</v>
      </c>
      <c r="F20" t="s">
        <v>26</v>
      </c>
      <c r="G20">
        <v>1</v>
      </c>
      <c r="H20" t="s">
        <v>117</v>
      </c>
      <c r="I20">
        <v>300</v>
      </c>
      <c r="S20" s="11" t="s">
        <v>1033</v>
      </c>
    </row>
    <row r="21" spans="1:20" x14ac:dyDescent="0.25">
      <c r="A21" s="4">
        <v>434001</v>
      </c>
      <c r="C21" s="4">
        <v>1</v>
      </c>
      <c r="D21" t="s">
        <v>451</v>
      </c>
      <c r="E21" s="4" t="s">
        <v>36</v>
      </c>
      <c r="F21" t="s">
        <v>26</v>
      </c>
      <c r="G21">
        <v>1</v>
      </c>
      <c r="H21" t="s">
        <v>117</v>
      </c>
      <c r="I21">
        <v>300</v>
      </c>
      <c r="S21" s="11" t="s">
        <v>452</v>
      </c>
    </row>
    <row r="22" spans="1:20" x14ac:dyDescent="0.25">
      <c r="A22" s="4">
        <v>434001</v>
      </c>
      <c r="C22" s="4">
        <v>1</v>
      </c>
      <c r="D22" t="s">
        <v>600</v>
      </c>
      <c r="E22" s="4" t="s">
        <v>49</v>
      </c>
      <c r="F22" t="s">
        <v>26</v>
      </c>
      <c r="G22">
        <v>1</v>
      </c>
      <c r="H22" t="s">
        <v>117</v>
      </c>
      <c r="I22">
        <v>300</v>
      </c>
      <c r="S22" s="11" t="s">
        <v>601</v>
      </c>
    </row>
    <row r="23" spans="1:20" x14ac:dyDescent="0.25">
      <c r="A23" s="4">
        <v>434001</v>
      </c>
      <c r="C23" s="4">
        <v>1</v>
      </c>
      <c r="D23" t="s">
        <v>826</v>
      </c>
      <c r="E23" s="4" t="s">
        <v>57</v>
      </c>
      <c r="F23" t="s">
        <v>26</v>
      </c>
      <c r="G23">
        <v>1</v>
      </c>
      <c r="H23" t="s">
        <v>117</v>
      </c>
      <c r="I23">
        <v>300</v>
      </c>
      <c r="S23" s="11" t="s">
        <v>827</v>
      </c>
    </row>
    <row r="24" spans="1:20" x14ac:dyDescent="0.25">
      <c r="A24" s="4">
        <v>434001</v>
      </c>
      <c r="C24" s="4">
        <v>1</v>
      </c>
      <c r="D24" t="s">
        <v>68</v>
      </c>
      <c r="E24" s="4" t="s">
        <v>65</v>
      </c>
      <c r="F24" t="s">
        <v>26</v>
      </c>
      <c r="G24">
        <v>1</v>
      </c>
      <c r="H24" t="s">
        <v>117</v>
      </c>
      <c r="I24">
        <v>300</v>
      </c>
      <c r="S24" s="11" t="s">
        <v>50</v>
      </c>
    </row>
    <row r="25" spans="1:20" x14ac:dyDescent="0.25">
      <c r="A25" s="4">
        <v>434001</v>
      </c>
      <c r="C25" s="4">
        <v>1</v>
      </c>
      <c r="D25" t="s">
        <v>69</v>
      </c>
      <c r="E25" s="4" t="s">
        <v>54</v>
      </c>
      <c r="F25" t="s">
        <v>26</v>
      </c>
      <c r="G25">
        <v>1</v>
      </c>
      <c r="H25" t="s">
        <v>117</v>
      </c>
      <c r="I25">
        <v>300</v>
      </c>
      <c r="S25" s="11" t="s">
        <v>70</v>
      </c>
    </row>
    <row r="26" spans="1:20" x14ac:dyDescent="0.25">
      <c r="A26" s="4">
        <v>434001</v>
      </c>
      <c r="C26" s="4">
        <v>1</v>
      </c>
      <c r="D26" t="s">
        <v>59</v>
      </c>
      <c r="E26" s="4" t="s">
        <v>38</v>
      </c>
      <c r="F26" t="s">
        <v>26</v>
      </c>
      <c r="G26">
        <v>1</v>
      </c>
      <c r="H26" t="s">
        <v>117</v>
      </c>
      <c r="I26">
        <v>300</v>
      </c>
      <c r="S26" s="11" t="s">
        <v>60</v>
      </c>
      <c r="T26" s="5"/>
    </row>
    <row r="27" spans="1:20" x14ac:dyDescent="0.25">
      <c r="A27" s="4">
        <v>434001</v>
      </c>
      <c r="C27" s="4">
        <v>1</v>
      </c>
      <c r="D27" t="s">
        <v>86</v>
      </c>
      <c r="E27" s="4" t="s">
        <v>77</v>
      </c>
      <c r="F27" t="s">
        <v>26</v>
      </c>
      <c r="G27">
        <v>1</v>
      </c>
      <c r="H27" t="s">
        <v>117</v>
      </c>
      <c r="I27">
        <v>300</v>
      </c>
      <c r="S27" s="11" t="s">
        <v>87</v>
      </c>
    </row>
    <row r="28" spans="1:20" x14ac:dyDescent="0.25">
      <c r="A28" s="4">
        <v>434001</v>
      </c>
      <c r="C28" s="4">
        <v>1</v>
      </c>
      <c r="D28" t="s">
        <v>88</v>
      </c>
      <c r="E28" s="4" t="s">
        <v>80</v>
      </c>
      <c r="F28" t="s">
        <v>26</v>
      </c>
      <c r="G28">
        <v>1</v>
      </c>
      <c r="H28" t="s">
        <v>117</v>
      </c>
      <c r="I28">
        <v>300</v>
      </c>
      <c r="S28" s="11" t="s">
        <v>89</v>
      </c>
    </row>
    <row r="29" spans="1:20" x14ac:dyDescent="0.25">
      <c r="A29" s="4">
        <v>434001</v>
      </c>
      <c r="C29" s="4">
        <v>1</v>
      </c>
      <c r="D29" t="s">
        <v>1022</v>
      </c>
      <c r="E29" s="4" t="s">
        <v>72</v>
      </c>
      <c r="F29" t="s">
        <v>26</v>
      </c>
      <c r="G29">
        <v>1</v>
      </c>
      <c r="H29" t="s">
        <v>117</v>
      </c>
      <c r="I29">
        <v>300</v>
      </c>
      <c r="S29" s="11" t="s">
        <v>1032</v>
      </c>
    </row>
    <row r="30" spans="1:20" x14ac:dyDescent="0.25">
      <c r="A30" s="4">
        <v>434001</v>
      </c>
      <c r="C30" s="4">
        <v>1</v>
      </c>
      <c r="D30" t="s">
        <v>1023</v>
      </c>
      <c r="E30" s="4" t="s">
        <v>52</v>
      </c>
      <c r="F30" t="s">
        <v>26</v>
      </c>
      <c r="G30">
        <v>1</v>
      </c>
      <c r="H30" t="s">
        <v>117</v>
      </c>
      <c r="I30">
        <v>300</v>
      </c>
      <c r="S30" s="11" t="s">
        <v>1031</v>
      </c>
    </row>
  </sheetData>
  <phoneticPr fontId="6" type="noConversion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T15"/>
  <sheetViews>
    <sheetView topLeftCell="B1" zoomScale="85" zoomScaleNormal="85" workbookViewId="0">
      <selection activeCell="F4" sqref="F4:R4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407665</v>
      </c>
      <c r="B3" s="10">
        <v>1</v>
      </c>
      <c r="C3" s="4">
        <v>0</v>
      </c>
      <c r="D3" t="s">
        <v>393</v>
      </c>
      <c r="F3" t="s">
        <v>21</v>
      </c>
      <c r="G3">
        <v>1</v>
      </c>
      <c r="H3" t="s">
        <v>117</v>
      </c>
      <c r="I3">
        <v>99999990</v>
      </c>
      <c r="S3" s="6" t="s">
        <v>359</v>
      </c>
      <c r="T3" s="5"/>
    </row>
    <row r="4" spans="1:20" x14ac:dyDescent="0.25">
      <c r="A4" s="4">
        <v>407665</v>
      </c>
      <c r="B4" s="10">
        <v>1</v>
      </c>
      <c r="C4" s="4">
        <v>0</v>
      </c>
      <c r="D4" s="11" t="s">
        <v>473</v>
      </c>
      <c r="E4" s="10"/>
      <c r="F4" t="s">
        <v>295</v>
      </c>
      <c r="G4">
        <v>1</v>
      </c>
      <c r="H4" t="s">
        <v>117</v>
      </c>
      <c r="I4">
        <v>300</v>
      </c>
      <c r="J4" t="s">
        <v>679</v>
      </c>
      <c r="K4">
        <v>0</v>
      </c>
      <c r="L4">
        <v>1000</v>
      </c>
      <c r="M4">
        <v>0</v>
      </c>
      <c r="N4">
        <v>100</v>
      </c>
      <c r="O4" t="s">
        <v>201</v>
      </c>
      <c r="R4" t="s">
        <v>677</v>
      </c>
      <c r="S4" t="s">
        <v>476</v>
      </c>
      <c r="T4" s="5"/>
    </row>
    <row r="5" spans="1:20" x14ac:dyDescent="0.25">
      <c r="A5" s="4">
        <v>407665</v>
      </c>
      <c r="B5" s="10">
        <v>1</v>
      </c>
      <c r="C5" s="4">
        <v>0</v>
      </c>
      <c r="D5" t="s">
        <v>489</v>
      </c>
      <c r="F5" t="s">
        <v>21</v>
      </c>
      <c r="G5">
        <v>1</v>
      </c>
      <c r="H5" t="s">
        <v>117</v>
      </c>
      <c r="I5">
        <v>99999990</v>
      </c>
      <c r="S5" t="s">
        <v>485</v>
      </c>
    </row>
    <row r="6" spans="1:20" x14ac:dyDescent="0.25">
      <c r="A6" s="4">
        <v>409937</v>
      </c>
      <c r="B6" s="4">
        <v>3</v>
      </c>
      <c r="C6" s="4">
        <v>1</v>
      </c>
      <c r="D6" s="11" t="s">
        <v>179</v>
      </c>
      <c r="E6" s="10"/>
      <c r="F6" s="11" t="s">
        <v>21</v>
      </c>
      <c r="G6" s="11">
        <v>1</v>
      </c>
      <c r="H6" s="11" t="s">
        <v>22</v>
      </c>
      <c r="I6" s="11">
        <v>300</v>
      </c>
      <c r="S6" t="s">
        <v>180</v>
      </c>
    </row>
    <row r="7" spans="1:20" x14ac:dyDescent="0.25">
      <c r="A7" s="4">
        <v>438600</v>
      </c>
      <c r="B7" s="10">
        <v>2</v>
      </c>
      <c r="C7" s="4">
        <v>0</v>
      </c>
      <c r="D7" s="11" t="s">
        <v>471</v>
      </c>
      <c r="E7" s="10"/>
      <c r="F7" s="11" t="s">
        <v>21</v>
      </c>
      <c r="G7" s="11">
        <v>1</v>
      </c>
      <c r="H7" s="11" t="s">
        <v>22</v>
      </c>
      <c r="I7" s="11">
        <v>300</v>
      </c>
      <c r="S7" t="s">
        <v>474</v>
      </c>
      <c r="T7" s="5"/>
    </row>
    <row r="8" spans="1:20" x14ac:dyDescent="0.25">
      <c r="A8" s="4">
        <v>438600</v>
      </c>
      <c r="B8" s="10">
        <v>2</v>
      </c>
      <c r="C8" s="4">
        <v>1</v>
      </c>
      <c r="D8" s="11" t="s">
        <v>472</v>
      </c>
      <c r="E8" s="10"/>
      <c r="F8" s="11" t="s">
        <v>21</v>
      </c>
      <c r="G8" s="11">
        <v>1</v>
      </c>
      <c r="H8" s="11" t="s">
        <v>22</v>
      </c>
      <c r="I8" s="11">
        <v>300</v>
      </c>
      <c r="S8" t="s">
        <v>475</v>
      </c>
      <c r="T8" s="5"/>
    </row>
    <row r="9" spans="1:20" x14ac:dyDescent="0.25">
      <c r="A9" s="4">
        <v>406393</v>
      </c>
      <c r="B9" s="4">
        <v>2</v>
      </c>
      <c r="C9" s="4">
        <v>0</v>
      </c>
      <c r="D9" s="11" t="s">
        <v>592</v>
      </c>
      <c r="E9" s="10"/>
      <c r="F9" s="11" t="s">
        <v>295</v>
      </c>
      <c r="G9" s="11">
        <v>1</v>
      </c>
      <c r="H9" s="11" t="s">
        <v>22</v>
      </c>
      <c r="I9" s="11">
        <v>300</v>
      </c>
      <c r="S9" t="s">
        <v>594</v>
      </c>
    </row>
    <row r="10" spans="1:20" x14ac:dyDescent="0.25">
      <c r="A10" s="4">
        <v>406393</v>
      </c>
      <c r="B10" s="4">
        <v>2</v>
      </c>
      <c r="C10" s="4">
        <v>1</v>
      </c>
      <c r="D10" s="11" t="s">
        <v>593</v>
      </c>
      <c r="E10" s="10"/>
      <c r="F10" s="11" t="s">
        <v>295</v>
      </c>
      <c r="G10" s="11">
        <v>1</v>
      </c>
      <c r="H10" s="11" t="s">
        <v>22</v>
      </c>
      <c r="I10" s="11">
        <v>300</v>
      </c>
      <c r="S10" t="s">
        <v>595</v>
      </c>
    </row>
    <row r="11" spans="1:20" x14ac:dyDescent="0.25">
      <c r="D11" s="11"/>
      <c r="E11" s="10"/>
      <c r="F11" s="11"/>
      <c r="G11" s="11"/>
      <c r="H11" s="11"/>
      <c r="I11" s="11"/>
    </row>
    <row r="12" spans="1:20" x14ac:dyDescent="0.25">
      <c r="D12" s="11"/>
      <c r="E12" s="10"/>
      <c r="F12" s="11"/>
      <c r="G12" s="11"/>
      <c r="H12" s="11"/>
      <c r="I12" s="11"/>
    </row>
    <row r="13" spans="1:20" x14ac:dyDescent="0.25">
      <c r="D13" s="11"/>
      <c r="E13" s="10"/>
      <c r="F13" s="11"/>
      <c r="G13" s="11"/>
      <c r="H13" s="11"/>
      <c r="I13" s="11"/>
    </row>
    <row r="14" spans="1:20" x14ac:dyDescent="0.25">
      <c r="D14" s="11"/>
      <c r="E14" s="10"/>
      <c r="F14" s="11"/>
      <c r="G14" s="11"/>
      <c r="H14" s="11"/>
      <c r="I14" s="11"/>
    </row>
    <row r="15" spans="1:20" x14ac:dyDescent="0.25">
      <c r="D15" s="11"/>
      <c r="E15" s="10"/>
      <c r="F15" s="11"/>
      <c r="G15" s="11"/>
      <c r="H15" s="11"/>
      <c r="I15" s="1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2:T7"/>
  <sheetViews>
    <sheetView workbookViewId="0">
      <selection activeCell="G15" sqref="G15"/>
    </sheetView>
  </sheetViews>
  <sheetFormatPr defaultRowHeight="15" x14ac:dyDescent="0.25"/>
  <cols>
    <col min="1" max="1" width="16.42578125" bestFit="1" customWidth="1"/>
    <col min="2" max="2" width="7" style="5" bestFit="1" customWidth="1"/>
    <col min="3" max="3" width="11.140625" style="5" bestFit="1" customWidth="1"/>
    <col min="4" max="4" width="26.5703125" bestFit="1" customWidth="1"/>
    <col min="5" max="5" width="16.5703125" bestFit="1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0" width="7.140625" bestFit="1" customWidth="1"/>
    <col min="11" max="11" width="8.5703125" bestFit="1" customWidth="1"/>
    <col min="13" max="13" width="10.5703125" bestFit="1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34.42578125" bestFit="1" customWidth="1"/>
    <col min="20" max="20" width="13.140625" bestFit="1" customWidth="1"/>
  </cols>
  <sheetData>
    <row r="2" spans="1:20" s="3" customFormat="1" ht="15.75" thickBot="1" x14ac:dyDescent="0.3">
      <c r="A2" s="2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ht="15.75" thickBot="1" x14ac:dyDescent="0.3">
      <c r="A3" s="9">
        <v>407429</v>
      </c>
      <c r="B3" s="5">
        <v>5</v>
      </c>
      <c r="D3" t="str">
        <f xml:space="preserve"> ".ManCard.AVR."&amp;B3</f>
        <v>.ManCard.AVR.5</v>
      </c>
      <c r="E3" s="4" t="str">
        <f>A3&amp; "." &amp; (B3-1)</f>
        <v>407429.4</v>
      </c>
      <c r="F3" t="s">
        <v>26</v>
      </c>
      <c r="G3">
        <v>1</v>
      </c>
      <c r="H3" t="s">
        <v>22</v>
      </c>
      <c r="I3">
        <v>300</v>
      </c>
      <c r="S3" s="6" t="s">
        <v>176</v>
      </c>
      <c r="T3" s="5"/>
    </row>
    <row r="4" spans="1:20" ht="15.75" thickBot="1" x14ac:dyDescent="0.3">
      <c r="A4" s="4"/>
      <c r="E4" s="4"/>
      <c r="S4" s="6"/>
      <c r="T4" s="5"/>
    </row>
    <row r="5" spans="1:20" ht="15.75" thickBot="1" x14ac:dyDescent="0.3">
      <c r="A5" s="9">
        <v>407430</v>
      </c>
      <c r="B5" s="5">
        <v>5</v>
      </c>
      <c r="D5" t="str">
        <f>".ManCard.Curr." &amp;B5</f>
        <v>.ManCard.Curr.5</v>
      </c>
      <c r="E5" s="4" t="str">
        <f>A5&amp; "." &amp; (B5-1)</f>
        <v>407430.4</v>
      </c>
      <c r="F5" t="s">
        <v>26</v>
      </c>
      <c r="G5">
        <v>1</v>
      </c>
      <c r="H5" t="s">
        <v>22</v>
      </c>
      <c r="I5">
        <v>300</v>
      </c>
      <c r="S5" s="6" t="s">
        <v>177</v>
      </c>
      <c r="T5" s="5"/>
    </row>
    <row r="6" spans="1:20" ht="15.75" thickBot="1" x14ac:dyDescent="0.3"/>
    <row r="7" spans="1:20" ht="15.75" thickBot="1" x14ac:dyDescent="0.3">
      <c r="A7" s="9">
        <v>407431</v>
      </c>
      <c r="B7" s="5">
        <v>16</v>
      </c>
      <c r="C7" s="5">
        <v>0</v>
      </c>
      <c r="D7" t="str">
        <f xml:space="preserve"> ".ManCard.UTS."&amp;B7+(C7*16)</f>
        <v>.ManCard.UTS.16</v>
      </c>
      <c r="E7" s="4" t="str">
        <f>A7+C7&amp; "." &amp; (B7-1)</f>
        <v>407431.15</v>
      </c>
      <c r="F7" t="s">
        <v>26</v>
      </c>
      <c r="G7">
        <v>1</v>
      </c>
      <c r="H7" t="s">
        <v>22</v>
      </c>
      <c r="I7">
        <v>300</v>
      </c>
      <c r="S7" s="6" t="s">
        <v>178</v>
      </c>
      <c r="T7" s="5"/>
    </row>
  </sheetData>
  <dataConsolidate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T13"/>
  <sheetViews>
    <sheetView topLeftCell="A16" workbookViewId="0">
      <selection activeCell="I16" sqref="I1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727</v>
      </c>
      <c r="E3" s="107" t="s">
        <v>29</v>
      </c>
      <c r="F3" t="s">
        <v>26</v>
      </c>
      <c r="G3">
        <v>1</v>
      </c>
      <c r="H3" t="s">
        <v>22</v>
      </c>
      <c r="I3">
        <v>300</v>
      </c>
      <c r="S3" t="s">
        <v>728</v>
      </c>
      <c r="T3" s="5"/>
    </row>
    <row r="4" spans="1:20" x14ac:dyDescent="0.25">
      <c r="A4" s="4">
        <v>434001</v>
      </c>
      <c r="C4" s="4">
        <v>0</v>
      </c>
      <c r="D4" t="s">
        <v>94</v>
      </c>
      <c r="E4" s="4" t="s">
        <v>25</v>
      </c>
      <c r="F4" t="s">
        <v>26</v>
      </c>
      <c r="G4">
        <v>1</v>
      </c>
      <c r="H4" t="s">
        <v>22</v>
      </c>
      <c r="I4">
        <v>300</v>
      </c>
      <c r="S4" t="s">
        <v>95</v>
      </c>
      <c r="T4" s="5"/>
    </row>
    <row r="5" spans="1:20" x14ac:dyDescent="0.25">
      <c r="A5" s="4">
        <v>434001</v>
      </c>
      <c r="C5" s="4">
        <v>0</v>
      </c>
      <c r="D5" t="s">
        <v>96</v>
      </c>
      <c r="E5" s="4" t="s">
        <v>27</v>
      </c>
      <c r="F5" t="s">
        <v>26</v>
      </c>
      <c r="G5">
        <v>1</v>
      </c>
      <c r="H5" t="s">
        <v>22</v>
      </c>
      <c r="I5">
        <v>300</v>
      </c>
      <c r="S5" s="6" t="s">
        <v>97</v>
      </c>
      <c r="T5" s="5"/>
    </row>
    <row r="6" spans="1:20" x14ac:dyDescent="0.25">
      <c r="A6" s="4">
        <v>434001</v>
      </c>
      <c r="C6" s="4">
        <v>0</v>
      </c>
      <c r="D6" t="s">
        <v>725</v>
      </c>
      <c r="E6" s="4" t="s">
        <v>35</v>
      </c>
      <c r="F6" t="s">
        <v>26</v>
      </c>
      <c r="G6">
        <v>1</v>
      </c>
      <c r="H6" t="s">
        <v>22</v>
      </c>
      <c r="I6">
        <v>300</v>
      </c>
      <c r="S6" s="6" t="s">
        <v>729</v>
      </c>
    </row>
    <row r="7" spans="1:20" x14ac:dyDescent="0.25">
      <c r="A7" s="4">
        <v>434001</v>
      </c>
      <c r="C7" s="4">
        <v>0</v>
      </c>
      <c r="D7" t="s">
        <v>724</v>
      </c>
      <c r="E7" s="4" t="s">
        <v>31</v>
      </c>
      <c r="F7" t="s">
        <v>26</v>
      </c>
      <c r="G7">
        <v>1</v>
      </c>
      <c r="H7" t="s">
        <v>22</v>
      </c>
      <c r="I7">
        <v>300</v>
      </c>
      <c r="S7" s="6" t="s">
        <v>730</v>
      </c>
    </row>
    <row r="8" spans="1:20" x14ac:dyDescent="0.25">
      <c r="A8" s="4">
        <v>434001</v>
      </c>
      <c r="C8" s="4">
        <v>0</v>
      </c>
      <c r="D8" t="s">
        <v>726</v>
      </c>
      <c r="E8" s="4" t="s">
        <v>33</v>
      </c>
      <c r="F8" t="s">
        <v>26</v>
      </c>
      <c r="G8">
        <v>1</v>
      </c>
      <c r="H8" t="s">
        <v>22</v>
      </c>
      <c r="I8">
        <v>300</v>
      </c>
      <c r="S8" t="s">
        <v>731</v>
      </c>
      <c r="T8" s="5"/>
    </row>
    <row r="9" spans="1:20" x14ac:dyDescent="0.25">
      <c r="A9" s="4">
        <v>434001</v>
      </c>
      <c r="C9" s="4">
        <v>0</v>
      </c>
      <c r="D9" t="s">
        <v>833</v>
      </c>
      <c r="E9" s="4" t="s">
        <v>36</v>
      </c>
      <c r="F9" t="s">
        <v>26</v>
      </c>
      <c r="G9">
        <v>1</v>
      </c>
      <c r="H9" t="s">
        <v>22</v>
      </c>
      <c r="I9">
        <v>300</v>
      </c>
      <c r="S9" s="6" t="s">
        <v>834</v>
      </c>
      <c r="T9" s="5"/>
    </row>
    <row r="10" spans="1:20" x14ac:dyDescent="0.25">
      <c r="A10" s="4">
        <v>434001</v>
      </c>
      <c r="C10" s="4">
        <v>0</v>
      </c>
      <c r="D10" t="s">
        <v>98</v>
      </c>
      <c r="F10" t="s">
        <v>21</v>
      </c>
      <c r="G10">
        <v>1</v>
      </c>
      <c r="H10" t="s">
        <v>117</v>
      </c>
      <c r="I10">
        <v>99999990</v>
      </c>
      <c r="S10" s="6" t="s">
        <v>43</v>
      </c>
      <c r="T10" s="5"/>
    </row>
    <row r="11" spans="1:20" x14ac:dyDescent="0.25">
      <c r="S11" s="6"/>
      <c r="T11" s="5"/>
    </row>
    <row r="12" spans="1:20" x14ac:dyDescent="0.25">
      <c r="S12" s="6"/>
      <c r="T12" s="5"/>
    </row>
    <row r="13" spans="1:20" x14ac:dyDescent="0.25">
      <c r="T13" s="5"/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/>
  <dimension ref="A1:T4"/>
  <sheetViews>
    <sheetView workbookViewId="0">
      <selection activeCell="D5" sqref="D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486</v>
      </c>
      <c r="F3" s="4" t="s">
        <v>21</v>
      </c>
      <c r="G3" s="4">
        <v>1</v>
      </c>
      <c r="H3" s="4" t="s">
        <v>117</v>
      </c>
      <c r="I3" s="108">
        <v>99999990</v>
      </c>
      <c r="S3" s="6" t="s">
        <v>359</v>
      </c>
      <c r="T3" s="5"/>
    </row>
    <row r="4" spans="1:20" x14ac:dyDescent="0.25">
      <c r="A4" s="5">
        <v>400001</v>
      </c>
      <c r="B4" s="10"/>
      <c r="C4" s="4">
        <v>0</v>
      </c>
      <c r="D4" t="s">
        <v>491</v>
      </c>
      <c r="F4" s="4" t="s">
        <v>21</v>
      </c>
      <c r="G4" s="4">
        <v>1</v>
      </c>
      <c r="H4" s="4" t="s">
        <v>117</v>
      </c>
      <c r="I4">
        <v>99999990</v>
      </c>
      <c r="S4" t="s">
        <v>485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T14"/>
  <sheetViews>
    <sheetView zoomScale="85" zoomScaleNormal="85" workbookViewId="0">
      <selection activeCell="H25" sqref="H25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1</v>
      </c>
      <c r="D3" t="s">
        <v>169</v>
      </c>
      <c r="E3" s="5"/>
      <c r="F3" s="5" t="s">
        <v>21</v>
      </c>
      <c r="G3" s="5">
        <v>1</v>
      </c>
      <c r="H3" t="s">
        <v>117</v>
      </c>
      <c r="I3" s="5">
        <v>300</v>
      </c>
      <c r="S3" t="s">
        <v>379</v>
      </c>
    </row>
    <row r="4" spans="1:20" x14ac:dyDescent="0.25">
      <c r="A4" s="4">
        <v>434001</v>
      </c>
      <c r="C4" s="5">
        <v>0</v>
      </c>
      <c r="D4" t="s">
        <v>159</v>
      </c>
      <c r="E4" s="5"/>
      <c r="F4" s="5" t="s">
        <v>21</v>
      </c>
      <c r="G4" s="5">
        <v>1</v>
      </c>
      <c r="H4" t="s">
        <v>117</v>
      </c>
      <c r="I4">
        <v>99999990</v>
      </c>
      <c r="S4" t="s">
        <v>43</v>
      </c>
    </row>
    <row r="5" spans="1:20" x14ac:dyDescent="0.25">
      <c r="A5" s="4">
        <v>434001</v>
      </c>
      <c r="C5" s="5">
        <v>0</v>
      </c>
      <c r="D5" t="s">
        <v>161</v>
      </c>
      <c r="E5" s="5"/>
      <c r="F5" s="5" t="s">
        <v>21</v>
      </c>
      <c r="G5" s="5">
        <v>1</v>
      </c>
      <c r="H5" t="s">
        <v>117</v>
      </c>
      <c r="I5" s="5">
        <v>300</v>
      </c>
      <c r="S5" t="s">
        <v>441</v>
      </c>
    </row>
    <row r="6" spans="1:20" x14ac:dyDescent="0.25">
      <c r="A6" s="4">
        <v>434001</v>
      </c>
      <c r="C6" s="5">
        <v>0</v>
      </c>
      <c r="D6" t="s">
        <v>402</v>
      </c>
      <c r="E6" s="5" t="s">
        <v>33</v>
      </c>
      <c r="F6" s="5" t="s">
        <v>26</v>
      </c>
      <c r="G6" s="5">
        <v>1</v>
      </c>
      <c r="H6" t="s">
        <v>117</v>
      </c>
      <c r="I6" s="5">
        <v>300</v>
      </c>
      <c r="S6" t="s">
        <v>90</v>
      </c>
    </row>
    <row r="7" spans="1:20" x14ac:dyDescent="0.25">
      <c r="A7" s="4">
        <v>434001</v>
      </c>
      <c r="C7" s="5">
        <v>0</v>
      </c>
      <c r="D7" t="s">
        <v>403</v>
      </c>
      <c r="E7" s="5" t="s">
        <v>36</v>
      </c>
      <c r="F7" s="5" t="s">
        <v>26</v>
      </c>
      <c r="G7" s="5">
        <v>1</v>
      </c>
      <c r="H7" t="s">
        <v>117</v>
      </c>
      <c r="I7" s="5">
        <v>300</v>
      </c>
      <c r="S7" t="s">
        <v>91</v>
      </c>
    </row>
    <row r="8" spans="1:20" x14ac:dyDescent="0.25">
      <c r="A8" s="4">
        <v>434001</v>
      </c>
      <c r="C8" s="5">
        <v>0</v>
      </c>
      <c r="D8" t="s">
        <v>404</v>
      </c>
      <c r="E8" s="5" t="s">
        <v>54</v>
      </c>
      <c r="F8" s="5" t="s">
        <v>26</v>
      </c>
      <c r="G8" s="5">
        <v>1</v>
      </c>
      <c r="H8" t="s">
        <v>117</v>
      </c>
      <c r="I8" s="5">
        <v>300</v>
      </c>
      <c r="S8" t="s">
        <v>396</v>
      </c>
    </row>
    <row r="9" spans="1:20" x14ac:dyDescent="0.25">
      <c r="A9" s="4">
        <v>434001</v>
      </c>
      <c r="C9" s="5">
        <v>0</v>
      </c>
      <c r="D9" t="s">
        <v>468</v>
      </c>
      <c r="E9" s="105" t="s">
        <v>25</v>
      </c>
      <c r="F9" s="5" t="s">
        <v>26</v>
      </c>
      <c r="G9" s="5">
        <v>1</v>
      </c>
      <c r="H9" t="s">
        <v>117</v>
      </c>
      <c r="I9" s="5">
        <v>300</v>
      </c>
      <c r="S9" t="s">
        <v>469</v>
      </c>
    </row>
    <row r="10" spans="1:20" x14ac:dyDescent="0.25">
      <c r="A10" s="4">
        <v>434001</v>
      </c>
      <c r="C10" s="5">
        <v>0</v>
      </c>
      <c r="D10" t="s">
        <v>634</v>
      </c>
      <c r="E10" s="107" t="s">
        <v>80</v>
      </c>
      <c r="F10" s="5" t="s">
        <v>26</v>
      </c>
      <c r="G10" s="5">
        <v>1</v>
      </c>
      <c r="H10" t="s">
        <v>117</v>
      </c>
      <c r="I10" s="5">
        <v>300</v>
      </c>
      <c r="S10" t="s">
        <v>637</v>
      </c>
    </row>
    <row r="11" spans="1:20" x14ac:dyDescent="0.25">
      <c r="A11" s="4">
        <v>434001</v>
      </c>
      <c r="C11" s="5">
        <v>0</v>
      </c>
      <c r="D11" t="s">
        <v>635</v>
      </c>
      <c r="E11" s="107" t="s">
        <v>72</v>
      </c>
      <c r="F11" s="5" t="s">
        <v>26</v>
      </c>
      <c r="G11" s="5">
        <v>1</v>
      </c>
      <c r="H11" t="s">
        <v>117</v>
      </c>
      <c r="I11" s="5">
        <v>300</v>
      </c>
      <c r="S11" t="s">
        <v>638</v>
      </c>
    </row>
    <row r="12" spans="1:20" x14ac:dyDescent="0.25">
      <c r="A12" s="4">
        <v>434001</v>
      </c>
      <c r="C12" s="5">
        <v>0</v>
      </c>
      <c r="D12" t="s">
        <v>636</v>
      </c>
      <c r="E12" s="107" t="s">
        <v>52</v>
      </c>
      <c r="F12" s="5" t="s">
        <v>26</v>
      </c>
      <c r="G12" s="5">
        <v>1</v>
      </c>
      <c r="H12" t="s">
        <v>117</v>
      </c>
      <c r="I12" s="5">
        <v>300</v>
      </c>
      <c r="S12" t="s">
        <v>639</v>
      </c>
    </row>
    <row r="13" spans="1:20" x14ac:dyDescent="0.25">
      <c r="A13" s="4">
        <v>434001</v>
      </c>
      <c r="C13" s="5">
        <v>0</v>
      </c>
      <c r="D13" t="s">
        <v>1015</v>
      </c>
      <c r="E13" s="5" t="s">
        <v>49</v>
      </c>
      <c r="F13" s="5" t="s">
        <v>26</v>
      </c>
      <c r="G13" s="5">
        <v>1</v>
      </c>
      <c r="H13" t="s">
        <v>117</v>
      </c>
      <c r="I13" s="5">
        <v>300</v>
      </c>
      <c r="S13" t="s">
        <v>1017</v>
      </c>
    </row>
    <row r="14" spans="1:20" x14ac:dyDescent="0.25">
      <c r="A14" s="4">
        <v>434001</v>
      </c>
      <c r="C14" s="5">
        <v>0</v>
      </c>
      <c r="D14" t="s">
        <v>1016</v>
      </c>
      <c r="E14" s="5" t="s">
        <v>57</v>
      </c>
      <c r="F14" s="5" t="s">
        <v>26</v>
      </c>
      <c r="G14" s="5">
        <v>1</v>
      </c>
      <c r="H14" t="s">
        <v>117</v>
      </c>
      <c r="I14" s="5">
        <v>300</v>
      </c>
      <c r="S14" t="s">
        <v>1018</v>
      </c>
    </row>
  </sheetData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T13"/>
  <sheetViews>
    <sheetView zoomScale="85" zoomScaleNormal="85" workbookViewId="0">
      <selection activeCell="H2" sqref="H2"/>
    </sheetView>
  </sheetViews>
  <sheetFormatPr defaultRowHeight="15" x14ac:dyDescent="0.25"/>
  <cols>
    <col min="1" max="1" width="16.42578125" style="4" bestFit="1" customWidth="1"/>
    <col min="2" max="2" width="4.7109375" style="4" bestFit="1" customWidth="1"/>
    <col min="3" max="3" width="11.140625" style="4" bestFit="1" customWidth="1"/>
    <col min="4" max="4" width="19.5703125" bestFit="1" customWidth="1"/>
    <col min="5" max="5" width="8.140625" style="4" bestFit="1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5.85546875" customWidth="1"/>
    <col min="19" max="19" width="49.285156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409300</v>
      </c>
      <c r="B3" s="10">
        <v>8</v>
      </c>
      <c r="C3" s="10">
        <v>0</v>
      </c>
      <c r="D3" s="11" t="s">
        <v>364</v>
      </c>
      <c r="E3" s="10"/>
      <c r="F3" s="11" t="s">
        <v>21</v>
      </c>
      <c r="G3" s="11">
        <v>1</v>
      </c>
      <c r="H3" s="11" t="s">
        <v>22</v>
      </c>
      <c r="I3" s="11">
        <v>1000</v>
      </c>
      <c r="S3" t="s">
        <v>365</v>
      </c>
      <c r="T3" s="5"/>
    </row>
    <row r="4" spans="1:20" x14ac:dyDescent="0.25">
      <c r="A4" s="4">
        <v>409300</v>
      </c>
      <c r="B4" s="10">
        <v>8</v>
      </c>
      <c r="C4" s="10">
        <v>1</v>
      </c>
      <c r="D4" s="11" t="s">
        <v>366</v>
      </c>
      <c r="E4" s="10"/>
      <c r="F4" s="11" t="s">
        <v>21</v>
      </c>
      <c r="G4" s="11">
        <v>1</v>
      </c>
      <c r="H4" s="11" t="s">
        <v>22</v>
      </c>
      <c r="I4" s="11">
        <v>1000</v>
      </c>
      <c r="S4" t="s">
        <v>397</v>
      </c>
    </row>
    <row r="5" spans="1:20" x14ac:dyDescent="0.25">
      <c r="A5" s="4">
        <v>409300</v>
      </c>
      <c r="B5" s="10">
        <v>8</v>
      </c>
      <c r="C5" s="10">
        <v>2</v>
      </c>
      <c r="D5" s="11" t="s">
        <v>367</v>
      </c>
      <c r="E5" s="10"/>
      <c r="F5" s="11" t="s">
        <v>21</v>
      </c>
      <c r="G5" s="11">
        <v>1</v>
      </c>
      <c r="H5" s="11" t="s">
        <v>22</v>
      </c>
      <c r="I5" s="11">
        <v>1000</v>
      </c>
      <c r="S5" t="s">
        <v>398</v>
      </c>
    </row>
    <row r="6" spans="1:20" x14ac:dyDescent="0.25">
      <c r="A6" s="4">
        <v>409300</v>
      </c>
      <c r="B6" s="10">
        <v>8</v>
      </c>
      <c r="C6" s="10">
        <v>3</v>
      </c>
      <c r="D6" s="11" t="s">
        <v>401</v>
      </c>
      <c r="E6" s="10"/>
      <c r="F6" s="11" t="s">
        <v>21</v>
      </c>
      <c r="G6" s="11">
        <v>1</v>
      </c>
      <c r="H6" s="11" t="s">
        <v>22</v>
      </c>
      <c r="I6" s="11">
        <v>1000</v>
      </c>
      <c r="S6" t="s">
        <v>399</v>
      </c>
    </row>
    <row r="7" spans="1:20" x14ac:dyDescent="0.25">
      <c r="A7" s="4">
        <v>409300</v>
      </c>
      <c r="B7" s="10">
        <v>8</v>
      </c>
      <c r="C7" s="10">
        <v>4</v>
      </c>
      <c r="D7" s="11" t="s">
        <v>368</v>
      </c>
      <c r="E7" s="10"/>
      <c r="F7" s="11" t="s">
        <v>21</v>
      </c>
      <c r="G7" s="11">
        <v>1</v>
      </c>
      <c r="H7" s="11" t="s">
        <v>22</v>
      </c>
      <c r="I7" s="11">
        <v>1000</v>
      </c>
      <c r="S7" t="s">
        <v>400</v>
      </c>
    </row>
    <row r="8" spans="1:20" x14ac:dyDescent="0.25">
      <c r="A8" s="4">
        <v>409300</v>
      </c>
      <c r="B8" s="10">
        <v>8</v>
      </c>
      <c r="C8" s="10">
        <v>5</v>
      </c>
      <c r="D8" s="11" t="s">
        <v>999</v>
      </c>
      <c r="E8" s="10"/>
      <c r="F8" s="11" t="s">
        <v>21</v>
      </c>
      <c r="G8" s="11">
        <v>1</v>
      </c>
      <c r="H8" s="11" t="s">
        <v>22</v>
      </c>
      <c r="I8" s="11">
        <v>1000</v>
      </c>
      <c r="S8" t="s">
        <v>1002</v>
      </c>
    </row>
    <row r="9" spans="1:20" x14ac:dyDescent="0.25">
      <c r="A9" s="4">
        <v>409300</v>
      </c>
      <c r="B9" s="10">
        <v>8</v>
      </c>
      <c r="C9" s="10">
        <v>6</v>
      </c>
      <c r="D9" s="11" t="s">
        <v>1000</v>
      </c>
      <c r="E9" s="10"/>
      <c r="F9" s="11" t="s">
        <v>21</v>
      </c>
      <c r="G9" s="11">
        <v>1</v>
      </c>
      <c r="H9" s="11" t="s">
        <v>22</v>
      </c>
      <c r="I9" s="11">
        <v>1000</v>
      </c>
      <c r="S9" t="s">
        <v>1003</v>
      </c>
    </row>
    <row r="10" spans="1:20" x14ac:dyDescent="0.25">
      <c r="A10" s="4">
        <v>409300</v>
      </c>
      <c r="B10" s="10">
        <v>8</v>
      </c>
      <c r="C10" s="10">
        <v>7</v>
      </c>
      <c r="D10" s="11" t="s">
        <v>1001</v>
      </c>
      <c r="E10" s="10"/>
      <c r="F10" s="11" t="s">
        <v>21</v>
      </c>
      <c r="G10" s="11">
        <v>1</v>
      </c>
      <c r="H10" s="11" t="s">
        <v>22</v>
      </c>
      <c r="I10" s="11">
        <v>1000</v>
      </c>
      <c r="S10" t="s">
        <v>1004</v>
      </c>
    </row>
    <row r="11" spans="1:20" x14ac:dyDescent="0.25">
      <c r="A11" s="4">
        <v>406600</v>
      </c>
      <c r="B11" s="4">
        <v>1</v>
      </c>
      <c r="C11" s="4">
        <v>0</v>
      </c>
      <c r="D11" s="11" t="s">
        <v>453</v>
      </c>
      <c r="E11" s="10"/>
      <c r="F11" s="11" t="s">
        <v>21</v>
      </c>
      <c r="G11" s="11">
        <v>1</v>
      </c>
      <c r="H11" s="11" t="s">
        <v>1012</v>
      </c>
      <c r="I11" s="11">
        <v>1000</v>
      </c>
      <c r="S11" t="s">
        <v>454</v>
      </c>
    </row>
    <row r="12" spans="1:20" x14ac:dyDescent="0.25">
      <c r="A12" s="4">
        <v>406551</v>
      </c>
      <c r="B12" s="4">
        <v>1</v>
      </c>
      <c r="C12" s="4">
        <v>0</v>
      </c>
      <c r="D12" s="11" t="s">
        <v>630</v>
      </c>
      <c r="F12" s="11" t="s">
        <v>21</v>
      </c>
      <c r="G12" s="11">
        <v>1</v>
      </c>
      <c r="H12" s="11" t="s">
        <v>1012</v>
      </c>
      <c r="I12" s="11">
        <v>1000</v>
      </c>
      <c r="S12" t="s">
        <v>632</v>
      </c>
    </row>
    <row r="13" spans="1:20" x14ac:dyDescent="0.25">
      <c r="A13" s="4">
        <v>406500</v>
      </c>
      <c r="B13" s="4">
        <v>1</v>
      </c>
      <c r="C13" s="4">
        <v>0</v>
      </c>
      <c r="D13" s="11" t="s">
        <v>633</v>
      </c>
      <c r="F13" s="11" t="s">
        <v>21</v>
      </c>
      <c r="G13" s="11">
        <v>1</v>
      </c>
      <c r="H13" s="11" t="s">
        <v>1012</v>
      </c>
      <c r="I13" s="11">
        <v>1000</v>
      </c>
      <c r="S13" t="s">
        <v>631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T15"/>
  <sheetViews>
    <sheetView zoomScale="85" zoomScaleNormal="85" workbookViewId="0">
      <selection activeCell="S28" sqref="S2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369</v>
      </c>
      <c r="E3" s="5"/>
      <c r="F3" s="5" t="s">
        <v>21</v>
      </c>
      <c r="G3" s="5">
        <v>1</v>
      </c>
      <c r="H3" t="s">
        <v>117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370</v>
      </c>
      <c r="E4" s="5"/>
      <c r="F4" s="5" t="s">
        <v>21</v>
      </c>
      <c r="G4" s="5">
        <v>1</v>
      </c>
      <c r="H4" t="s">
        <v>117</v>
      </c>
      <c r="I4" s="5">
        <v>300</v>
      </c>
      <c r="S4" t="s">
        <v>371</v>
      </c>
    </row>
    <row r="5" spans="1:20" x14ac:dyDescent="0.25">
      <c r="A5" s="4">
        <v>434001</v>
      </c>
      <c r="C5" s="5">
        <v>0</v>
      </c>
      <c r="D5" t="s">
        <v>1011</v>
      </c>
      <c r="E5" s="5" t="s">
        <v>31</v>
      </c>
      <c r="F5" s="5" t="s">
        <v>26</v>
      </c>
      <c r="G5" s="5">
        <v>1</v>
      </c>
      <c r="H5" t="s">
        <v>117</v>
      </c>
      <c r="I5" s="5">
        <v>300</v>
      </c>
      <c r="S5" t="s">
        <v>50</v>
      </c>
    </row>
    <row r="6" spans="1:20" x14ac:dyDescent="0.25">
      <c r="A6" s="4">
        <v>434001</v>
      </c>
      <c r="C6" s="5">
        <v>0</v>
      </c>
      <c r="D6" t="s">
        <v>376</v>
      </c>
      <c r="E6" s="5" t="s">
        <v>33</v>
      </c>
      <c r="F6" s="5" t="s">
        <v>26</v>
      </c>
      <c r="G6" s="5">
        <v>1</v>
      </c>
      <c r="H6" t="s">
        <v>117</v>
      </c>
      <c r="I6" s="5">
        <v>300</v>
      </c>
      <c r="S6" t="s">
        <v>377</v>
      </c>
    </row>
    <row r="7" spans="1:20" x14ac:dyDescent="0.25">
      <c r="A7" s="4">
        <v>434001</v>
      </c>
      <c r="C7" s="5">
        <v>0</v>
      </c>
      <c r="D7" t="s">
        <v>372</v>
      </c>
      <c r="E7" s="5" t="s">
        <v>36</v>
      </c>
      <c r="F7" s="5" t="s">
        <v>26</v>
      </c>
      <c r="G7" s="5">
        <v>1</v>
      </c>
      <c r="H7" t="s">
        <v>117</v>
      </c>
      <c r="I7" s="5">
        <v>300</v>
      </c>
      <c r="S7" t="s">
        <v>373</v>
      </c>
    </row>
    <row r="8" spans="1:20" x14ac:dyDescent="0.25">
      <c r="A8" s="4">
        <v>434001</v>
      </c>
      <c r="C8" s="5">
        <v>0</v>
      </c>
      <c r="D8" t="s">
        <v>374</v>
      </c>
      <c r="E8" s="5" t="s">
        <v>49</v>
      </c>
      <c r="F8" s="5" t="s">
        <v>26</v>
      </c>
      <c r="G8" s="5">
        <v>1</v>
      </c>
      <c r="H8" t="s">
        <v>117</v>
      </c>
      <c r="I8" s="5">
        <v>300</v>
      </c>
      <c r="S8" t="s">
        <v>375</v>
      </c>
    </row>
    <row r="9" spans="1:20" x14ac:dyDescent="0.25">
      <c r="A9" s="4">
        <v>434001</v>
      </c>
      <c r="C9" s="5">
        <v>1</v>
      </c>
      <c r="D9" t="s">
        <v>378</v>
      </c>
      <c r="E9" s="5"/>
      <c r="F9" s="5" t="s">
        <v>21</v>
      </c>
      <c r="G9" s="5">
        <v>1</v>
      </c>
      <c r="H9" t="s">
        <v>117</v>
      </c>
      <c r="I9" s="5">
        <v>300</v>
      </c>
      <c r="S9" t="s">
        <v>379</v>
      </c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  <row r="15" spans="1:20" x14ac:dyDescent="0.25">
      <c r="A15" s="4"/>
      <c r="C15" s="5"/>
      <c r="E15" s="5"/>
      <c r="F15" s="5"/>
      <c r="G15" s="5"/>
      <c r="H15" s="5"/>
      <c r="I15" s="5"/>
    </row>
  </sheetData>
  <sortState ref="A5:T8">
    <sortCondition ref="E5:E8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T12"/>
  <sheetViews>
    <sheetView zoomScale="85" zoomScaleNormal="85" workbookViewId="0">
      <selection activeCell="I24" sqref="I24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9.140625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193</v>
      </c>
      <c r="E3" s="5"/>
      <c r="F3" s="5" t="s">
        <v>21</v>
      </c>
      <c r="G3" s="5">
        <v>1</v>
      </c>
      <c r="H3" t="s">
        <v>117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194</v>
      </c>
      <c r="E4" s="5"/>
      <c r="F4" s="5" t="s">
        <v>21</v>
      </c>
      <c r="G4" s="5">
        <v>1</v>
      </c>
      <c r="H4" t="s">
        <v>117</v>
      </c>
      <c r="I4" s="5">
        <v>300</v>
      </c>
      <c r="S4" t="s">
        <v>371</v>
      </c>
    </row>
    <row r="5" spans="1:20" x14ac:dyDescent="0.25">
      <c r="A5" s="4">
        <v>434001</v>
      </c>
      <c r="C5" s="5">
        <v>0</v>
      </c>
      <c r="D5" t="s">
        <v>823</v>
      </c>
      <c r="E5" s="5" t="s">
        <v>29</v>
      </c>
      <c r="F5" s="5" t="s">
        <v>26</v>
      </c>
      <c r="G5" s="5">
        <v>1</v>
      </c>
      <c r="H5" t="s">
        <v>117</v>
      </c>
      <c r="I5" s="5">
        <v>300</v>
      </c>
      <c r="S5" t="s">
        <v>737</v>
      </c>
    </row>
    <row r="6" spans="1:20" x14ac:dyDescent="0.25">
      <c r="A6" s="4">
        <v>434001</v>
      </c>
      <c r="C6" s="5">
        <v>0</v>
      </c>
      <c r="D6" t="s">
        <v>824</v>
      </c>
      <c r="E6" s="5" t="s">
        <v>25</v>
      </c>
      <c r="F6" s="5" t="s">
        <v>26</v>
      </c>
      <c r="G6" s="5">
        <v>1</v>
      </c>
      <c r="H6" t="s">
        <v>117</v>
      </c>
      <c r="I6" s="5">
        <v>300</v>
      </c>
      <c r="S6" t="s">
        <v>738</v>
      </c>
    </row>
    <row r="7" spans="1:20" x14ac:dyDescent="0.25">
      <c r="A7" s="4">
        <v>434001</v>
      </c>
      <c r="C7" s="5">
        <v>0</v>
      </c>
      <c r="D7" t="s">
        <v>825</v>
      </c>
      <c r="E7" s="5" t="s">
        <v>27</v>
      </c>
      <c r="F7" s="5" t="s">
        <v>26</v>
      </c>
      <c r="G7" s="5">
        <v>1</v>
      </c>
      <c r="H7" t="s">
        <v>117</v>
      </c>
      <c r="I7" s="5">
        <v>300</v>
      </c>
      <c r="S7" t="s">
        <v>822</v>
      </c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2:T14"/>
  <sheetViews>
    <sheetView zoomScale="85" zoomScaleNormal="85" workbookViewId="0">
      <selection activeCell="S28" sqref="S2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380</v>
      </c>
      <c r="E3" s="5"/>
      <c r="F3" s="5" t="s">
        <v>21</v>
      </c>
      <c r="G3" s="5">
        <v>1</v>
      </c>
      <c r="H3" t="s">
        <v>117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381</v>
      </c>
      <c r="E4" s="5"/>
      <c r="F4" s="5" t="s">
        <v>21</v>
      </c>
      <c r="G4" s="5">
        <v>1</v>
      </c>
      <c r="H4" t="s">
        <v>117</v>
      </c>
      <c r="I4" s="5">
        <v>300</v>
      </c>
      <c r="S4" t="s">
        <v>371</v>
      </c>
    </row>
    <row r="5" spans="1:20" x14ac:dyDescent="0.25">
      <c r="A5" s="4">
        <v>434001</v>
      </c>
      <c r="C5" s="5">
        <v>0</v>
      </c>
      <c r="D5" t="s">
        <v>382</v>
      </c>
      <c r="E5" s="5" t="s">
        <v>29</v>
      </c>
      <c r="F5" s="5" t="s">
        <v>26</v>
      </c>
      <c r="G5" s="5">
        <v>1</v>
      </c>
      <c r="H5" t="s">
        <v>117</v>
      </c>
      <c r="I5" s="5">
        <v>300</v>
      </c>
      <c r="S5" t="s">
        <v>383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T14"/>
  <sheetViews>
    <sheetView zoomScale="85" zoomScaleNormal="85" workbookViewId="0">
      <selection activeCell="V39" sqref="V39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386</v>
      </c>
      <c r="E3" s="5"/>
      <c r="F3" s="5" t="s">
        <v>21</v>
      </c>
      <c r="G3" s="5">
        <v>1</v>
      </c>
      <c r="H3" t="s">
        <v>117</v>
      </c>
      <c r="I3">
        <v>99999990</v>
      </c>
      <c r="S3" t="s">
        <v>43</v>
      </c>
    </row>
    <row r="4" spans="1:20" x14ac:dyDescent="0.25">
      <c r="A4" s="4">
        <v>434001</v>
      </c>
      <c r="B4" s="4"/>
      <c r="C4" s="4">
        <v>0</v>
      </c>
      <c r="D4" t="s">
        <v>395</v>
      </c>
      <c r="E4" s="4"/>
      <c r="F4" s="4" t="s">
        <v>21</v>
      </c>
      <c r="G4" s="4">
        <v>1</v>
      </c>
      <c r="H4" t="s">
        <v>117</v>
      </c>
      <c r="I4">
        <v>99999990</v>
      </c>
      <c r="S4" s="6" t="s">
        <v>45</v>
      </c>
      <c r="T4" s="5"/>
    </row>
    <row r="5" spans="1:20" x14ac:dyDescent="0.25">
      <c r="A5" s="4">
        <v>434001</v>
      </c>
      <c r="C5" s="5">
        <v>0</v>
      </c>
      <c r="D5" t="s">
        <v>387</v>
      </c>
      <c r="E5" s="5"/>
      <c r="F5" s="4" t="s">
        <v>21</v>
      </c>
      <c r="G5" s="5">
        <v>1</v>
      </c>
      <c r="H5" t="s">
        <v>117</v>
      </c>
      <c r="I5" s="5">
        <v>300</v>
      </c>
      <c r="S5" t="s">
        <v>371</v>
      </c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I7" s="5"/>
    </row>
    <row r="8" spans="1:20" x14ac:dyDescent="0.25">
      <c r="A8" s="4"/>
      <c r="C8" s="5"/>
      <c r="E8" s="5"/>
      <c r="F8" s="5"/>
      <c r="G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  <row r="13" spans="1:20" x14ac:dyDescent="0.25">
      <c r="A13" s="4"/>
      <c r="C13" s="5"/>
      <c r="E13" s="5"/>
      <c r="F13" s="5"/>
      <c r="G13" s="5"/>
      <c r="H13" s="5"/>
      <c r="I13" s="5"/>
    </row>
    <row r="14" spans="1:20" x14ac:dyDescent="0.25">
      <c r="A14" s="4"/>
      <c r="C14" s="5"/>
      <c r="E14" s="5"/>
      <c r="F14" s="5"/>
      <c r="G14" s="5"/>
      <c r="H14" s="5"/>
      <c r="I14" s="5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T12"/>
  <sheetViews>
    <sheetView zoomScale="85" zoomScaleNormal="85" workbookViewId="0">
      <selection activeCell="I34" sqref="I34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9.140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7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B3" s="4"/>
      <c r="C3" s="4">
        <v>0</v>
      </c>
      <c r="D3" s="4" t="s">
        <v>394</v>
      </c>
      <c r="E3" s="4"/>
      <c r="F3" s="4" t="s">
        <v>21</v>
      </c>
      <c r="G3" s="4">
        <v>1</v>
      </c>
      <c r="H3" t="s">
        <v>117</v>
      </c>
      <c r="I3">
        <v>99999990</v>
      </c>
      <c r="S3" s="6" t="s">
        <v>359</v>
      </c>
      <c r="T3" s="5"/>
    </row>
    <row r="4" spans="1:20" x14ac:dyDescent="0.25">
      <c r="A4" s="4"/>
      <c r="C4" s="5"/>
      <c r="E4" s="5"/>
      <c r="F4" s="5"/>
      <c r="G4" s="5"/>
      <c r="I4" s="5"/>
    </row>
    <row r="5" spans="1:20" x14ac:dyDescent="0.25">
      <c r="A5" s="4"/>
      <c r="C5" s="5"/>
      <c r="E5" s="5"/>
      <c r="F5" s="5"/>
      <c r="G5" s="5"/>
      <c r="I5" s="5"/>
    </row>
    <row r="6" spans="1:20" x14ac:dyDescent="0.25">
      <c r="A6" s="4"/>
      <c r="C6" s="5"/>
      <c r="E6" s="5"/>
      <c r="F6" s="5"/>
      <c r="G6" s="5"/>
      <c r="I6" s="5"/>
    </row>
    <row r="7" spans="1:20" x14ac:dyDescent="0.25">
      <c r="A7" s="4"/>
      <c r="C7" s="5"/>
      <c r="E7" s="5"/>
      <c r="F7" s="5"/>
      <c r="G7" s="5"/>
      <c r="H7" s="5"/>
      <c r="I7" s="5"/>
    </row>
    <row r="8" spans="1:20" x14ac:dyDescent="0.25">
      <c r="A8" s="4"/>
      <c r="C8" s="5"/>
      <c r="E8" s="5"/>
      <c r="F8" s="5"/>
      <c r="G8" s="5"/>
      <c r="H8" s="5"/>
      <c r="I8" s="5"/>
    </row>
    <row r="9" spans="1:20" x14ac:dyDescent="0.25">
      <c r="A9" s="4"/>
      <c r="C9" s="5"/>
      <c r="E9" s="5"/>
      <c r="F9" s="5"/>
      <c r="G9" s="5"/>
      <c r="H9" s="5"/>
      <c r="I9" s="5"/>
    </row>
    <row r="10" spans="1:20" x14ac:dyDescent="0.25">
      <c r="A10" s="4"/>
      <c r="C10" s="5"/>
      <c r="E10" s="5"/>
      <c r="F10" s="5"/>
      <c r="G10" s="5"/>
      <c r="H10" s="5"/>
      <c r="I10" s="5"/>
    </row>
    <row r="11" spans="1:20" x14ac:dyDescent="0.25">
      <c r="A11" s="4"/>
      <c r="C11" s="5"/>
      <c r="E11" s="5"/>
      <c r="F11" s="5"/>
      <c r="G11" s="5"/>
      <c r="H11" s="5"/>
      <c r="I11" s="5"/>
    </row>
    <row r="12" spans="1:20" x14ac:dyDescent="0.25">
      <c r="A12" s="4"/>
      <c r="C12" s="5"/>
      <c r="E12" s="5"/>
      <c r="F12" s="5"/>
      <c r="G12" s="5"/>
      <c r="H12" s="5"/>
      <c r="I12" s="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T152"/>
  <sheetViews>
    <sheetView tabSelected="1" topLeftCell="A13" zoomScale="88" zoomScaleNormal="88" workbookViewId="0">
      <selection activeCell="F28" sqref="F28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43.28515625" bestFit="1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88.5703125" bestFit="1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159</v>
      </c>
      <c r="E3" s="5"/>
      <c r="F3" s="5" t="s">
        <v>21</v>
      </c>
      <c r="G3" s="5">
        <v>1</v>
      </c>
      <c r="H3" t="s">
        <v>117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160</v>
      </c>
      <c r="E4" s="5"/>
      <c r="F4" s="5" t="s">
        <v>21</v>
      </c>
      <c r="G4" s="5">
        <v>1</v>
      </c>
      <c r="H4" t="s">
        <v>117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161</v>
      </c>
      <c r="E5" s="5"/>
      <c r="F5" s="5" t="s">
        <v>21</v>
      </c>
      <c r="G5" s="5">
        <v>1</v>
      </c>
      <c r="H5" s="5" t="s">
        <v>22</v>
      </c>
      <c r="I5" s="5">
        <v>300</v>
      </c>
      <c r="S5" t="s">
        <v>110</v>
      </c>
    </row>
    <row r="6" spans="1:20" x14ac:dyDescent="0.25">
      <c r="A6" s="4">
        <v>434001</v>
      </c>
      <c r="C6" s="5">
        <v>0</v>
      </c>
      <c r="D6" t="s">
        <v>162</v>
      </c>
      <c r="E6" s="5" t="s">
        <v>25</v>
      </c>
      <c r="F6" s="5" t="s">
        <v>26</v>
      </c>
      <c r="G6" s="5">
        <v>1</v>
      </c>
      <c r="H6" s="5" t="s">
        <v>22</v>
      </c>
      <c r="I6" s="5">
        <v>300</v>
      </c>
      <c r="S6" t="s">
        <v>99</v>
      </c>
    </row>
    <row r="7" spans="1:20" x14ac:dyDescent="0.25">
      <c r="A7" s="4">
        <v>434001</v>
      </c>
      <c r="C7" s="5">
        <v>0</v>
      </c>
      <c r="D7" t="s">
        <v>163</v>
      </c>
      <c r="E7" s="5" t="s">
        <v>27</v>
      </c>
      <c r="F7" s="5" t="s">
        <v>26</v>
      </c>
      <c r="G7" s="5">
        <v>1</v>
      </c>
      <c r="H7" s="5" t="s">
        <v>22</v>
      </c>
      <c r="I7" s="5">
        <v>300</v>
      </c>
      <c r="S7" t="s">
        <v>100</v>
      </c>
    </row>
    <row r="8" spans="1:20" x14ac:dyDescent="0.25">
      <c r="A8" s="4">
        <v>434001</v>
      </c>
      <c r="C8" s="5">
        <v>0</v>
      </c>
      <c r="D8" t="s">
        <v>164</v>
      </c>
      <c r="E8" s="5" t="s">
        <v>49</v>
      </c>
      <c r="F8" s="5" t="s">
        <v>26</v>
      </c>
      <c r="G8" s="5">
        <v>1</v>
      </c>
      <c r="H8" s="5" t="s">
        <v>22</v>
      </c>
      <c r="I8" s="5">
        <v>300</v>
      </c>
      <c r="S8" t="s">
        <v>101</v>
      </c>
    </row>
    <row r="9" spans="1:20" x14ac:dyDescent="0.25">
      <c r="A9" s="4">
        <v>434001</v>
      </c>
      <c r="C9" s="5">
        <v>0</v>
      </c>
      <c r="D9" t="s">
        <v>165</v>
      </c>
      <c r="E9" s="5" t="s">
        <v>57</v>
      </c>
      <c r="F9" s="5" t="s">
        <v>26</v>
      </c>
      <c r="G9" s="5">
        <v>1</v>
      </c>
      <c r="H9" s="5" t="s">
        <v>22</v>
      </c>
      <c r="I9" s="5">
        <v>300</v>
      </c>
      <c r="S9" t="s">
        <v>102</v>
      </c>
    </row>
    <row r="10" spans="1:20" x14ac:dyDescent="0.25">
      <c r="A10" s="4">
        <v>434001</v>
      </c>
      <c r="C10" s="5">
        <v>0</v>
      </c>
      <c r="D10" t="s">
        <v>166</v>
      </c>
      <c r="E10" s="5" t="s">
        <v>65</v>
      </c>
      <c r="F10" s="5" t="s">
        <v>26</v>
      </c>
      <c r="G10" s="5">
        <v>1</v>
      </c>
      <c r="H10" s="5" t="s">
        <v>22</v>
      </c>
      <c r="I10" s="5">
        <v>300</v>
      </c>
      <c r="S10" t="s">
        <v>103</v>
      </c>
    </row>
    <row r="11" spans="1:20" x14ac:dyDescent="0.25">
      <c r="A11" s="4">
        <v>434001</v>
      </c>
      <c r="C11" s="5">
        <v>0</v>
      </c>
      <c r="D11" t="s">
        <v>167</v>
      </c>
      <c r="E11" s="5" t="s">
        <v>38</v>
      </c>
      <c r="F11" s="5" t="s">
        <v>26</v>
      </c>
      <c r="G11" s="5">
        <v>1</v>
      </c>
      <c r="H11" s="5" t="s">
        <v>22</v>
      </c>
      <c r="I11" s="5">
        <v>300</v>
      </c>
      <c r="S11" t="s">
        <v>104</v>
      </c>
    </row>
    <row r="12" spans="1:20" x14ac:dyDescent="0.25">
      <c r="A12" s="4">
        <v>434001</v>
      </c>
      <c r="C12" s="5">
        <v>0</v>
      </c>
      <c r="D12" t="s">
        <v>168</v>
      </c>
      <c r="E12" s="5" t="s">
        <v>52</v>
      </c>
      <c r="F12" s="5" t="s">
        <v>26</v>
      </c>
      <c r="G12" s="5">
        <v>1</v>
      </c>
      <c r="H12" s="5" t="s">
        <v>22</v>
      </c>
      <c r="I12" s="5">
        <v>300</v>
      </c>
      <c r="S12" t="s">
        <v>105</v>
      </c>
    </row>
    <row r="13" spans="1:20" x14ac:dyDescent="0.25">
      <c r="A13" s="4">
        <v>434001</v>
      </c>
      <c r="C13" s="5">
        <v>1</v>
      </c>
      <c r="D13" t="s">
        <v>169</v>
      </c>
      <c r="E13" s="5"/>
      <c r="F13" s="5" t="s">
        <v>21</v>
      </c>
      <c r="G13" s="5">
        <v>1</v>
      </c>
      <c r="H13" s="5" t="s">
        <v>22</v>
      </c>
      <c r="I13" s="5">
        <v>300</v>
      </c>
      <c r="S13" t="s">
        <v>111</v>
      </c>
    </row>
    <row r="14" spans="1:20" x14ac:dyDescent="0.25">
      <c r="A14" s="4">
        <v>434001</v>
      </c>
      <c r="C14" s="5">
        <v>1</v>
      </c>
      <c r="D14" t="s">
        <v>170</v>
      </c>
      <c r="E14" s="5" t="s">
        <v>27</v>
      </c>
      <c r="F14" s="5" t="s">
        <v>26</v>
      </c>
      <c r="G14" s="5">
        <v>1</v>
      </c>
      <c r="H14" s="5" t="s">
        <v>22</v>
      </c>
      <c r="I14" s="5">
        <v>300</v>
      </c>
      <c r="S14" t="s">
        <v>106</v>
      </c>
    </row>
    <row r="15" spans="1:20" x14ac:dyDescent="0.25">
      <c r="A15" s="4">
        <v>434001</v>
      </c>
      <c r="C15" s="5">
        <v>1</v>
      </c>
      <c r="D15" t="s">
        <v>171</v>
      </c>
      <c r="E15" s="5" t="s">
        <v>35</v>
      </c>
      <c r="F15" s="5" t="s">
        <v>26</v>
      </c>
      <c r="G15" s="5">
        <v>1</v>
      </c>
      <c r="H15" s="5" t="s">
        <v>22</v>
      </c>
      <c r="I15" s="5">
        <v>300</v>
      </c>
      <c r="S15" t="s">
        <v>107</v>
      </c>
    </row>
    <row r="16" spans="1:20" x14ac:dyDescent="0.25">
      <c r="A16" s="4">
        <v>434001</v>
      </c>
      <c r="C16" s="5">
        <v>1</v>
      </c>
      <c r="D16" t="s">
        <v>172</v>
      </c>
      <c r="E16" s="5" t="s">
        <v>31</v>
      </c>
      <c r="F16" s="5" t="s">
        <v>26</v>
      </c>
      <c r="G16" s="5">
        <v>1</v>
      </c>
      <c r="H16" s="5" t="s">
        <v>22</v>
      </c>
      <c r="I16" s="5">
        <v>300</v>
      </c>
      <c r="S16" t="s">
        <v>108</v>
      </c>
    </row>
    <row r="17" spans="1:19" x14ac:dyDescent="0.25">
      <c r="A17" s="4">
        <v>434001</v>
      </c>
      <c r="C17" s="5">
        <v>1</v>
      </c>
      <c r="D17" t="s">
        <v>997</v>
      </c>
      <c r="E17" s="5" t="s">
        <v>36</v>
      </c>
      <c r="F17" s="5" t="s">
        <v>26</v>
      </c>
      <c r="G17" s="5">
        <v>1</v>
      </c>
      <c r="H17" s="5" t="s">
        <v>22</v>
      </c>
      <c r="I17" s="5">
        <v>300</v>
      </c>
      <c r="S17" t="s">
        <v>998</v>
      </c>
    </row>
    <row r="18" spans="1:19" x14ac:dyDescent="0.25">
      <c r="A18" s="4">
        <v>434001</v>
      </c>
      <c r="C18" s="5">
        <v>1</v>
      </c>
      <c r="D18" t="s">
        <v>448</v>
      </c>
      <c r="E18" s="5" t="s">
        <v>80</v>
      </c>
      <c r="F18" s="5" t="s">
        <v>26</v>
      </c>
      <c r="G18" s="5">
        <v>1</v>
      </c>
      <c r="H18" s="5" t="s">
        <v>22</v>
      </c>
      <c r="I18" s="5">
        <v>300</v>
      </c>
      <c r="S18" t="s">
        <v>449</v>
      </c>
    </row>
    <row r="19" spans="1:19" x14ac:dyDescent="0.25">
      <c r="A19" s="4">
        <v>434001</v>
      </c>
      <c r="C19" s="5">
        <v>2</v>
      </c>
      <c r="D19" t="s">
        <v>675</v>
      </c>
      <c r="F19" s="5" t="s">
        <v>21</v>
      </c>
      <c r="G19" s="5">
        <v>1</v>
      </c>
      <c r="H19" s="5" t="s">
        <v>22</v>
      </c>
      <c r="I19" s="5">
        <v>300</v>
      </c>
      <c r="S19" t="s">
        <v>676</v>
      </c>
    </row>
    <row r="20" spans="1:19" x14ac:dyDescent="0.25">
      <c r="A20" s="57">
        <v>434001</v>
      </c>
      <c r="B20" s="59"/>
      <c r="C20" s="57">
        <v>3</v>
      </c>
      <c r="D20" s="113" t="s">
        <v>1282</v>
      </c>
      <c r="E20" s="59"/>
      <c r="F20" s="57" t="s">
        <v>21</v>
      </c>
      <c r="G20" s="57">
        <v>1</v>
      </c>
      <c r="H20" s="57" t="s">
        <v>22</v>
      </c>
      <c r="I20" s="57">
        <v>300</v>
      </c>
      <c r="J20" s="59"/>
      <c r="K20" s="59"/>
      <c r="L20" s="59"/>
      <c r="M20" s="59"/>
      <c r="N20" s="59"/>
      <c r="O20" s="59"/>
      <c r="P20" s="59"/>
      <c r="Q20" s="59"/>
      <c r="R20" s="59"/>
      <c r="S20" s="118" t="s">
        <v>1116</v>
      </c>
    </row>
    <row r="21" spans="1:19" x14ac:dyDescent="0.25">
      <c r="A21" s="5">
        <v>434001</v>
      </c>
      <c r="C21" s="5">
        <v>3</v>
      </c>
      <c r="D21" t="s">
        <v>1117</v>
      </c>
      <c r="E21" t="s">
        <v>29</v>
      </c>
      <c r="F21" s="5" t="s">
        <v>26</v>
      </c>
      <c r="G21" s="5">
        <v>1</v>
      </c>
      <c r="H21" s="5" t="s">
        <v>117</v>
      </c>
      <c r="I21" s="5">
        <v>300</v>
      </c>
      <c r="S21" s="119" t="s">
        <v>1123</v>
      </c>
    </row>
    <row r="22" spans="1:19" x14ac:dyDescent="0.25">
      <c r="A22" s="5">
        <v>434001</v>
      </c>
      <c r="C22" s="5">
        <v>3</v>
      </c>
      <c r="D22" t="s">
        <v>1118</v>
      </c>
      <c r="E22" t="s">
        <v>25</v>
      </c>
      <c r="F22" s="5" t="s">
        <v>26</v>
      </c>
      <c r="G22" s="5">
        <v>1</v>
      </c>
      <c r="H22" s="5" t="s">
        <v>117</v>
      </c>
      <c r="I22" s="5">
        <v>300</v>
      </c>
      <c r="S22" s="119" t="s">
        <v>1124</v>
      </c>
    </row>
    <row r="23" spans="1:19" x14ac:dyDescent="0.25">
      <c r="A23" s="5">
        <v>434001</v>
      </c>
      <c r="C23" s="5">
        <v>3</v>
      </c>
      <c r="D23" t="s">
        <v>1119</v>
      </c>
      <c r="E23" t="s">
        <v>27</v>
      </c>
      <c r="F23" s="5" t="s">
        <v>26</v>
      </c>
      <c r="G23" s="5">
        <v>1</v>
      </c>
      <c r="H23" s="5" t="s">
        <v>117</v>
      </c>
      <c r="I23" s="5">
        <v>300</v>
      </c>
      <c r="S23" s="119"/>
    </row>
    <row r="24" spans="1:19" x14ac:dyDescent="0.25">
      <c r="A24" s="5">
        <v>434001</v>
      </c>
      <c r="C24" s="5">
        <v>3</v>
      </c>
      <c r="D24" t="s">
        <v>1120</v>
      </c>
      <c r="E24" t="s">
        <v>35</v>
      </c>
      <c r="F24" s="5" t="s">
        <v>26</v>
      </c>
      <c r="G24" s="5">
        <v>1</v>
      </c>
      <c r="H24" s="5" t="s">
        <v>117</v>
      </c>
      <c r="I24" s="5">
        <v>300</v>
      </c>
      <c r="S24" s="119"/>
    </row>
    <row r="25" spans="1:19" x14ac:dyDescent="0.25">
      <c r="A25" s="5">
        <v>434001</v>
      </c>
      <c r="C25" s="5">
        <v>3</v>
      </c>
      <c r="D25" t="s">
        <v>1121</v>
      </c>
      <c r="E25" t="s">
        <v>31</v>
      </c>
      <c r="F25" s="5" t="s">
        <v>26</v>
      </c>
      <c r="G25" s="5">
        <v>1</v>
      </c>
      <c r="H25" s="5" t="s">
        <v>117</v>
      </c>
      <c r="I25" s="5">
        <v>300</v>
      </c>
      <c r="S25" s="119"/>
    </row>
    <row r="26" spans="1:19" x14ac:dyDescent="0.25">
      <c r="A26" s="5">
        <v>434001</v>
      </c>
      <c r="C26" s="5">
        <v>3</v>
      </c>
      <c r="D26" t="s">
        <v>1122</v>
      </c>
      <c r="E26" t="s">
        <v>33</v>
      </c>
      <c r="F26" s="5" t="s">
        <v>26</v>
      </c>
      <c r="G26" s="5">
        <v>1</v>
      </c>
      <c r="H26" s="5" t="s">
        <v>117</v>
      </c>
      <c r="I26" s="5">
        <v>300</v>
      </c>
      <c r="S26" s="119"/>
    </row>
    <row r="27" spans="1:19" x14ac:dyDescent="0.25">
      <c r="A27" s="57">
        <v>434001</v>
      </c>
      <c r="B27" s="59"/>
      <c r="C27" s="57">
        <v>4</v>
      </c>
      <c r="D27" s="113" t="s">
        <v>1250</v>
      </c>
      <c r="E27" s="59"/>
      <c r="F27" s="57" t="s">
        <v>21</v>
      </c>
      <c r="G27" s="57">
        <v>1</v>
      </c>
      <c r="H27" s="57" t="s">
        <v>22</v>
      </c>
      <c r="I27" s="57">
        <v>300</v>
      </c>
      <c r="J27" s="59"/>
      <c r="K27" s="59"/>
      <c r="L27" s="59"/>
      <c r="M27" s="59"/>
      <c r="N27" s="59"/>
      <c r="O27" s="59"/>
      <c r="P27" s="59"/>
      <c r="Q27" s="59"/>
      <c r="R27" s="59"/>
      <c r="S27" s="118" t="s">
        <v>1115</v>
      </c>
    </row>
    <row r="28" spans="1:19" x14ac:dyDescent="0.25">
      <c r="A28" s="5">
        <v>434001</v>
      </c>
      <c r="C28" s="5">
        <v>4</v>
      </c>
      <c r="D28" t="s">
        <v>1251</v>
      </c>
      <c r="E28" t="s">
        <v>29</v>
      </c>
      <c r="F28" s="5" t="s">
        <v>26</v>
      </c>
      <c r="G28" s="5">
        <v>1</v>
      </c>
      <c r="H28" s="5" t="s">
        <v>117</v>
      </c>
      <c r="I28" s="5">
        <v>300</v>
      </c>
      <c r="S28" s="114" t="s">
        <v>1034</v>
      </c>
    </row>
    <row r="29" spans="1:19" x14ac:dyDescent="0.25">
      <c r="A29" s="5">
        <v>434001</v>
      </c>
      <c r="C29" s="5">
        <v>4</v>
      </c>
      <c r="D29" t="s">
        <v>1245</v>
      </c>
      <c r="E29" t="s">
        <v>25</v>
      </c>
      <c r="F29" s="5" t="s">
        <v>26</v>
      </c>
      <c r="G29" s="5">
        <v>1</v>
      </c>
      <c r="H29" s="5" t="s">
        <v>117</v>
      </c>
      <c r="I29" s="5">
        <v>300</v>
      </c>
      <c r="S29" s="119" t="s">
        <v>1082</v>
      </c>
    </row>
    <row r="30" spans="1:19" x14ac:dyDescent="0.25">
      <c r="A30" s="5">
        <v>434001</v>
      </c>
      <c r="C30" s="5">
        <v>4</v>
      </c>
      <c r="D30" t="s">
        <v>1246</v>
      </c>
      <c r="E30" t="s">
        <v>27</v>
      </c>
      <c r="F30" s="5" t="s">
        <v>26</v>
      </c>
      <c r="G30" s="5">
        <v>1</v>
      </c>
      <c r="H30" s="5" t="s">
        <v>117</v>
      </c>
      <c r="I30" s="5">
        <v>300</v>
      </c>
      <c r="S30" s="119" t="s">
        <v>1083</v>
      </c>
    </row>
    <row r="31" spans="1:19" x14ac:dyDescent="0.25">
      <c r="A31" s="5">
        <v>434001</v>
      </c>
      <c r="C31" s="5">
        <v>4</v>
      </c>
      <c r="D31" t="s">
        <v>1247</v>
      </c>
      <c r="E31" t="s">
        <v>35</v>
      </c>
      <c r="F31" s="5" t="s">
        <v>26</v>
      </c>
      <c r="G31" s="5">
        <v>1</v>
      </c>
      <c r="H31" s="5" t="s">
        <v>117</v>
      </c>
      <c r="I31" s="5">
        <v>300</v>
      </c>
      <c r="S31" s="119" t="s">
        <v>1084</v>
      </c>
    </row>
    <row r="32" spans="1:19" x14ac:dyDescent="0.25">
      <c r="A32" s="5">
        <v>434001</v>
      </c>
      <c r="C32" s="5">
        <v>4</v>
      </c>
      <c r="D32" t="s">
        <v>1248</v>
      </c>
      <c r="E32" t="s">
        <v>31</v>
      </c>
      <c r="F32" s="5" t="s">
        <v>26</v>
      </c>
      <c r="G32" s="5">
        <v>1</v>
      </c>
      <c r="H32" s="5" t="s">
        <v>117</v>
      </c>
      <c r="I32" s="5">
        <v>300</v>
      </c>
      <c r="S32" s="119" t="s">
        <v>1086</v>
      </c>
    </row>
    <row r="33" spans="1:19" x14ac:dyDescent="0.25">
      <c r="A33" s="5">
        <v>434001</v>
      </c>
      <c r="C33" s="68">
        <v>4</v>
      </c>
      <c r="D33" t="s">
        <v>1249</v>
      </c>
      <c r="E33" t="s">
        <v>33</v>
      </c>
      <c r="F33" s="5" t="s">
        <v>26</v>
      </c>
      <c r="G33" s="5">
        <v>1</v>
      </c>
      <c r="H33" s="5" t="s">
        <v>117</v>
      </c>
      <c r="I33" s="5">
        <v>300</v>
      </c>
      <c r="S33" s="119" t="s">
        <v>1085</v>
      </c>
    </row>
    <row r="34" spans="1:19" x14ac:dyDescent="0.25">
      <c r="A34" s="115">
        <v>434001</v>
      </c>
      <c r="B34" s="59"/>
      <c r="C34" s="5">
        <v>5</v>
      </c>
      <c r="D34" s="59" t="s">
        <v>1239</v>
      </c>
      <c r="E34" s="59"/>
      <c r="F34" s="57" t="s">
        <v>21</v>
      </c>
      <c r="G34" s="57">
        <v>1</v>
      </c>
      <c r="H34" s="57" t="s">
        <v>117</v>
      </c>
      <c r="I34" s="57">
        <v>300</v>
      </c>
      <c r="J34" s="59"/>
      <c r="K34" s="59"/>
      <c r="L34" s="59"/>
      <c r="M34" s="59"/>
      <c r="N34" s="59"/>
      <c r="O34" s="59"/>
      <c r="P34" s="59"/>
      <c r="Q34" s="59"/>
      <c r="R34" s="59"/>
      <c r="S34" s="120" t="s">
        <v>1125</v>
      </c>
    </row>
    <row r="35" spans="1:19" x14ac:dyDescent="0.25">
      <c r="A35" s="116">
        <v>434001</v>
      </c>
      <c r="C35" s="5">
        <v>5</v>
      </c>
      <c r="D35" t="s">
        <v>1240</v>
      </c>
      <c r="E35" t="s">
        <v>25</v>
      </c>
      <c r="F35" s="5" t="s">
        <v>26</v>
      </c>
      <c r="G35" s="5">
        <v>1</v>
      </c>
      <c r="H35" s="5" t="s">
        <v>117</v>
      </c>
      <c r="I35" s="5">
        <v>300</v>
      </c>
      <c r="S35" s="119" t="s">
        <v>1082</v>
      </c>
    </row>
    <row r="36" spans="1:19" x14ac:dyDescent="0.25">
      <c r="A36" s="116">
        <v>434001</v>
      </c>
      <c r="C36" s="5">
        <v>5</v>
      </c>
      <c r="D36" t="s">
        <v>1241</v>
      </c>
      <c r="E36" t="s">
        <v>27</v>
      </c>
      <c r="F36" s="5" t="s">
        <v>26</v>
      </c>
      <c r="G36" s="5">
        <v>1</v>
      </c>
      <c r="H36" s="5" t="s">
        <v>117</v>
      </c>
      <c r="I36" s="5">
        <v>300</v>
      </c>
      <c r="S36" s="119" t="s">
        <v>1083</v>
      </c>
    </row>
    <row r="37" spans="1:19" x14ac:dyDescent="0.25">
      <c r="A37" s="116">
        <v>434001</v>
      </c>
      <c r="C37" s="5">
        <v>5</v>
      </c>
      <c r="D37" t="s">
        <v>1242</v>
      </c>
      <c r="E37" t="s">
        <v>35</v>
      </c>
      <c r="F37" s="5" t="s">
        <v>26</v>
      </c>
      <c r="G37" s="5">
        <v>1</v>
      </c>
      <c r="H37" s="5" t="s">
        <v>117</v>
      </c>
      <c r="I37" s="5">
        <v>300</v>
      </c>
      <c r="S37" s="119" t="s">
        <v>1084</v>
      </c>
    </row>
    <row r="38" spans="1:19" x14ac:dyDescent="0.25">
      <c r="A38" s="116">
        <v>434001</v>
      </c>
      <c r="C38" s="5">
        <v>5</v>
      </c>
      <c r="D38" t="s">
        <v>1243</v>
      </c>
      <c r="E38" t="s">
        <v>31</v>
      </c>
      <c r="F38" s="5" t="s">
        <v>26</v>
      </c>
      <c r="G38" s="5">
        <v>1</v>
      </c>
      <c r="H38" s="5" t="s">
        <v>117</v>
      </c>
      <c r="I38" s="5">
        <v>300</v>
      </c>
      <c r="S38" s="119" t="s">
        <v>1086</v>
      </c>
    </row>
    <row r="39" spans="1:19" x14ac:dyDescent="0.25">
      <c r="A39" s="116">
        <v>434001</v>
      </c>
      <c r="C39" s="5">
        <v>5</v>
      </c>
      <c r="D39" t="s">
        <v>1244</v>
      </c>
      <c r="E39" t="s">
        <v>33</v>
      </c>
      <c r="F39" s="5" t="s">
        <v>26</v>
      </c>
      <c r="G39" s="5">
        <v>1</v>
      </c>
      <c r="H39" s="5" t="s">
        <v>117</v>
      </c>
      <c r="I39" s="5">
        <v>300</v>
      </c>
      <c r="S39" s="119" t="s">
        <v>1085</v>
      </c>
    </row>
    <row r="40" spans="1:19" x14ac:dyDescent="0.25">
      <c r="A40" s="115">
        <v>434001</v>
      </c>
      <c r="B40" s="59"/>
      <c r="C40" s="57">
        <v>6</v>
      </c>
      <c r="D40" s="59" t="s">
        <v>1036</v>
      </c>
      <c r="E40" s="59"/>
      <c r="F40" s="57" t="s">
        <v>21</v>
      </c>
      <c r="G40" s="57">
        <v>1</v>
      </c>
      <c r="H40" s="57" t="s">
        <v>117</v>
      </c>
      <c r="I40" s="57">
        <v>300</v>
      </c>
      <c r="J40" s="59"/>
      <c r="K40" s="59"/>
      <c r="L40" s="59"/>
      <c r="M40" s="59"/>
      <c r="N40" s="59"/>
      <c r="O40" s="59"/>
      <c r="P40" s="59"/>
      <c r="Q40" s="59"/>
      <c r="R40" s="59"/>
      <c r="S40" s="117" t="s">
        <v>1037</v>
      </c>
    </row>
    <row r="41" spans="1:19" x14ac:dyDescent="0.25">
      <c r="A41" s="116">
        <v>434001</v>
      </c>
      <c r="C41" s="5">
        <v>6</v>
      </c>
      <c r="D41" t="s">
        <v>1038</v>
      </c>
      <c r="E41" t="s">
        <v>29</v>
      </c>
      <c r="F41" s="5" t="s">
        <v>26</v>
      </c>
      <c r="G41" s="5">
        <v>1</v>
      </c>
      <c r="H41" s="5" t="s">
        <v>117</v>
      </c>
      <c r="I41" s="5">
        <v>300</v>
      </c>
      <c r="S41" s="119" t="s">
        <v>1039</v>
      </c>
    </row>
    <row r="42" spans="1:19" x14ac:dyDescent="0.25">
      <c r="A42" s="116">
        <v>434001</v>
      </c>
      <c r="C42" s="5">
        <v>6</v>
      </c>
      <c r="D42" t="s">
        <v>1040</v>
      </c>
      <c r="E42" t="s">
        <v>25</v>
      </c>
      <c r="F42" s="5" t="s">
        <v>26</v>
      </c>
      <c r="G42" s="5">
        <v>1</v>
      </c>
      <c r="H42" s="5" t="s">
        <v>117</v>
      </c>
      <c r="I42" s="5">
        <v>300</v>
      </c>
      <c r="S42" s="119" t="s">
        <v>1041</v>
      </c>
    </row>
    <row r="43" spans="1:19" x14ac:dyDescent="0.25">
      <c r="A43" s="116">
        <v>434001</v>
      </c>
      <c r="C43" s="5">
        <v>6</v>
      </c>
      <c r="D43" t="s">
        <v>1044</v>
      </c>
      <c r="E43" t="s">
        <v>27</v>
      </c>
      <c r="F43" s="5" t="s">
        <v>26</v>
      </c>
      <c r="G43" s="5">
        <v>1</v>
      </c>
      <c r="H43" s="5" t="s">
        <v>117</v>
      </c>
      <c r="I43" s="5">
        <v>300</v>
      </c>
      <c r="S43" s="119" t="s">
        <v>1089</v>
      </c>
    </row>
    <row r="44" spans="1:19" x14ac:dyDescent="0.25">
      <c r="A44" s="116">
        <v>434001</v>
      </c>
      <c r="C44" s="5">
        <v>6</v>
      </c>
      <c r="D44" t="s">
        <v>1174</v>
      </c>
      <c r="E44" t="s">
        <v>35</v>
      </c>
      <c r="F44" s="5" t="s">
        <v>26</v>
      </c>
      <c r="G44" s="5">
        <v>1</v>
      </c>
      <c r="H44" s="5" t="s">
        <v>117</v>
      </c>
      <c r="I44" s="5">
        <v>300</v>
      </c>
      <c r="S44" s="119" t="s">
        <v>1091</v>
      </c>
    </row>
    <row r="45" spans="1:19" x14ac:dyDescent="0.25">
      <c r="A45" s="116">
        <v>434001</v>
      </c>
      <c r="C45" s="5">
        <v>6</v>
      </c>
      <c r="D45" t="s">
        <v>1179</v>
      </c>
      <c r="E45" t="s">
        <v>31</v>
      </c>
      <c r="F45" s="5" t="s">
        <v>26</v>
      </c>
      <c r="G45" s="5">
        <v>1</v>
      </c>
      <c r="H45" s="5" t="s">
        <v>117</v>
      </c>
      <c r="I45" s="5">
        <v>300</v>
      </c>
      <c r="S45" s="119" t="s">
        <v>1093</v>
      </c>
    </row>
    <row r="46" spans="1:19" x14ac:dyDescent="0.25">
      <c r="A46" s="116">
        <v>434001</v>
      </c>
      <c r="C46" s="5">
        <v>6</v>
      </c>
      <c r="D46" t="s">
        <v>1045</v>
      </c>
      <c r="E46" t="s">
        <v>33</v>
      </c>
      <c r="F46" s="5" t="s">
        <v>26</v>
      </c>
      <c r="G46" s="5">
        <v>1</v>
      </c>
      <c r="H46" s="5" t="s">
        <v>117</v>
      </c>
      <c r="I46" s="5">
        <v>300</v>
      </c>
      <c r="S46" s="119" t="s">
        <v>1090</v>
      </c>
    </row>
    <row r="47" spans="1:19" x14ac:dyDescent="0.25">
      <c r="A47" s="116">
        <v>434001</v>
      </c>
      <c r="C47" s="5">
        <v>6</v>
      </c>
      <c r="D47" t="s">
        <v>1175</v>
      </c>
      <c r="E47" t="s">
        <v>36</v>
      </c>
      <c r="F47" s="5" t="s">
        <v>26</v>
      </c>
      <c r="G47" s="5">
        <v>1</v>
      </c>
      <c r="H47" s="5" t="s">
        <v>117</v>
      </c>
      <c r="I47" s="5">
        <v>300</v>
      </c>
      <c r="S47" s="119" t="s">
        <v>1126</v>
      </c>
    </row>
    <row r="48" spans="1:19" x14ac:dyDescent="0.25">
      <c r="A48" s="116">
        <v>434001</v>
      </c>
      <c r="C48" s="5">
        <v>6</v>
      </c>
      <c r="D48" t="s">
        <v>1176</v>
      </c>
      <c r="E48" t="s">
        <v>49</v>
      </c>
      <c r="F48" s="5" t="s">
        <v>26</v>
      </c>
      <c r="G48" s="5">
        <v>1</v>
      </c>
      <c r="H48" s="5" t="s">
        <v>117</v>
      </c>
      <c r="I48" s="5">
        <v>300</v>
      </c>
      <c r="S48" s="119" t="s">
        <v>1092</v>
      </c>
    </row>
    <row r="49" spans="1:19" x14ac:dyDescent="0.25">
      <c r="A49" s="116">
        <v>434001</v>
      </c>
      <c r="C49" s="5">
        <v>6</v>
      </c>
      <c r="D49" t="s">
        <v>1177</v>
      </c>
      <c r="E49" t="s">
        <v>57</v>
      </c>
      <c r="F49" s="5" t="s">
        <v>26</v>
      </c>
      <c r="G49" s="5">
        <v>1</v>
      </c>
      <c r="H49" s="5" t="s">
        <v>117</v>
      </c>
      <c r="I49" s="5">
        <v>300</v>
      </c>
      <c r="S49" s="119" t="s">
        <v>1127</v>
      </c>
    </row>
    <row r="50" spans="1:19" x14ac:dyDescent="0.25">
      <c r="A50" s="116">
        <v>434001</v>
      </c>
      <c r="C50" s="5">
        <v>6</v>
      </c>
      <c r="D50" t="s">
        <v>1180</v>
      </c>
      <c r="E50" t="s">
        <v>65</v>
      </c>
      <c r="F50" s="5" t="s">
        <v>26</v>
      </c>
      <c r="G50" s="5">
        <v>1</v>
      </c>
      <c r="H50" s="5" t="s">
        <v>117</v>
      </c>
      <c r="I50" s="5">
        <v>300</v>
      </c>
      <c r="S50" s="119" t="s">
        <v>1094</v>
      </c>
    </row>
    <row r="51" spans="1:19" x14ac:dyDescent="0.25">
      <c r="A51" s="116">
        <v>434001</v>
      </c>
      <c r="C51" s="5">
        <v>6</v>
      </c>
      <c r="D51" t="s">
        <v>1181</v>
      </c>
      <c r="E51" t="s">
        <v>54</v>
      </c>
      <c r="F51" s="5" t="s">
        <v>26</v>
      </c>
      <c r="G51" s="5">
        <v>1</v>
      </c>
      <c r="H51" s="5" t="s">
        <v>117</v>
      </c>
      <c r="I51" s="5">
        <v>300</v>
      </c>
      <c r="S51" s="119" t="s">
        <v>1128</v>
      </c>
    </row>
    <row r="52" spans="1:19" x14ac:dyDescent="0.25">
      <c r="A52" s="116">
        <v>434001</v>
      </c>
      <c r="C52" s="5">
        <v>6</v>
      </c>
      <c r="D52" t="s">
        <v>1178</v>
      </c>
      <c r="E52" t="s">
        <v>38</v>
      </c>
      <c r="F52" s="5" t="s">
        <v>26</v>
      </c>
      <c r="G52" s="5">
        <v>1</v>
      </c>
      <c r="H52" s="5" t="s">
        <v>117</v>
      </c>
      <c r="I52" s="5">
        <v>300</v>
      </c>
      <c r="S52" s="114" t="s">
        <v>1035</v>
      </c>
    </row>
    <row r="53" spans="1:19" x14ac:dyDescent="0.25">
      <c r="A53" s="116">
        <v>434001</v>
      </c>
      <c r="C53" s="5">
        <v>6</v>
      </c>
      <c r="D53" t="s">
        <v>1042</v>
      </c>
      <c r="E53" t="s">
        <v>77</v>
      </c>
      <c r="F53" s="5" t="s">
        <v>26</v>
      </c>
      <c r="G53" s="5">
        <v>1</v>
      </c>
      <c r="H53" s="5" t="s">
        <v>117</v>
      </c>
      <c r="I53" s="5">
        <v>300</v>
      </c>
      <c r="S53" s="119" t="s">
        <v>1043</v>
      </c>
    </row>
    <row r="54" spans="1:19" x14ac:dyDescent="0.25">
      <c r="A54" s="115">
        <v>434001</v>
      </c>
      <c r="B54" s="59"/>
      <c r="C54" s="57">
        <v>7</v>
      </c>
      <c r="D54" s="59" t="s">
        <v>1047</v>
      </c>
      <c r="E54" s="59"/>
      <c r="F54" s="57" t="s">
        <v>21</v>
      </c>
      <c r="G54" s="57">
        <v>1</v>
      </c>
      <c r="H54" s="57" t="s">
        <v>117</v>
      </c>
      <c r="I54" s="57">
        <v>300</v>
      </c>
      <c r="J54" s="59"/>
      <c r="K54" s="59"/>
      <c r="L54" s="59"/>
      <c r="M54" s="59"/>
      <c r="N54" s="59"/>
      <c r="O54" s="59"/>
      <c r="P54" s="59"/>
      <c r="Q54" s="59"/>
      <c r="R54" s="59"/>
      <c r="S54" s="59" t="s">
        <v>1048</v>
      </c>
    </row>
    <row r="55" spans="1:19" x14ac:dyDescent="0.25">
      <c r="A55" s="116">
        <v>434001</v>
      </c>
      <c r="C55" s="5">
        <v>7</v>
      </c>
      <c r="D55" t="s">
        <v>1049</v>
      </c>
      <c r="E55" t="s">
        <v>29</v>
      </c>
      <c r="F55" s="5" t="s">
        <v>26</v>
      </c>
      <c r="G55" s="5">
        <v>1</v>
      </c>
      <c r="H55" s="5" t="s">
        <v>117</v>
      </c>
      <c r="I55" s="5">
        <v>300</v>
      </c>
      <c r="S55" s="119" t="s">
        <v>1050</v>
      </c>
    </row>
    <row r="56" spans="1:19" x14ac:dyDescent="0.25">
      <c r="A56" s="116">
        <v>434001</v>
      </c>
      <c r="C56" s="5">
        <v>7</v>
      </c>
      <c r="D56" t="s">
        <v>1051</v>
      </c>
      <c r="E56" t="s">
        <v>25</v>
      </c>
      <c r="F56" s="5" t="s">
        <v>26</v>
      </c>
      <c r="G56" s="5">
        <v>1</v>
      </c>
      <c r="H56" s="5" t="s">
        <v>117</v>
      </c>
      <c r="I56" s="5">
        <v>300</v>
      </c>
      <c r="S56" s="119" t="s">
        <v>1052</v>
      </c>
    </row>
    <row r="57" spans="1:19" x14ac:dyDescent="0.25">
      <c r="A57" s="116">
        <v>434001</v>
      </c>
      <c r="C57" s="5">
        <v>7</v>
      </c>
      <c r="D57" t="s">
        <v>1055</v>
      </c>
      <c r="E57" t="s">
        <v>27</v>
      </c>
      <c r="F57" s="5" t="s">
        <v>26</v>
      </c>
      <c r="G57" s="5">
        <v>1</v>
      </c>
      <c r="H57" s="5" t="s">
        <v>117</v>
      </c>
      <c r="I57" s="5">
        <v>300</v>
      </c>
      <c r="S57" s="119" t="s">
        <v>1095</v>
      </c>
    </row>
    <row r="58" spans="1:19" x14ac:dyDescent="0.25">
      <c r="A58" s="116">
        <v>434001</v>
      </c>
      <c r="C58" s="5">
        <v>7</v>
      </c>
      <c r="D58" t="s">
        <v>1166</v>
      </c>
      <c r="E58" t="s">
        <v>35</v>
      </c>
      <c r="F58" s="5" t="s">
        <v>26</v>
      </c>
      <c r="G58" s="5">
        <v>1</v>
      </c>
      <c r="H58" s="5" t="s">
        <v>117</v>
      </c>
      <c r="I58" s="5">
        <v>300</v>
      </c>
      <c r="S58" s="119" t="s">
        <v>1097</v>
      </c>
    </row>
    <row r="59" spans="1:19" x14ac:dyDescent="0.25">
      <c r="A59" s="116">
        <v>434001</v>
      </c>
      <c r="C59" s="5">
        <v>7</v>
      </c>
      <c r="D59" t="s">
        <v>1167</v>
      </c>
      <c r="E59" t="s">
        <v>31</v>
      </c>
      <c r="F59" s="5" t="s">
        <v>26</v>
      </c>
      <c r="G59" s="5">
        <v>1</v>
      </c>
      <c r="H59" s="5" t="s">
        <v>117</v>
      </c>
      <c r="I59" s="5">
        <v>300</v>
      </c>
      <c r="S59" s="119" t="s">
        <v>1099</v>
      </c>
    </row>
    <row r="60" spans="1:19" x14ac:dyDescent="0.25">
      <c r="A60" s="116">
        <v>434001</v>
      </c>
      <c r="C60" s="5">
        <v>7</v>
      </c>
      <c r="D60" t="s">
        <v>1056</v>
      </c>
      <c r="E60" t="s">
        <v>33</v>
      </c>
      <c r="F60" s="5" t="s">
        <v>26</v>
      </c>
      <c r="G60" s="5">
        <v>1</v>
      </c>
      <c r="H60" s="5" t="s">
        <v>117</v>
      </c>
      <c r="I60" s="5">
        <v>300</v>
      </c>
      <c r="S60" s="119" t="s">
        <v>1096</v>
      </c>
    </row>
    <row r="61" spans="1:19" x14ac:dyDescent="0.25">
      <c r="A61" s="116">
        <v>434001</v>
      </c>
      <c r="C61" s="5">
        <v>7</v>
      </c>
      <c r="D61" t="s">
        <v>1168</v>
      </c>
      <c r="E61" t="s">
        <v>36</v>
      </c>
      <c r="F61" s="5" t="s">
        <v>26</v>
      </c>
      <c r="G61" s="5">
        <v>1</v>
      </c>
      <c r="H61" s="5" t="s">
        <v>117</v>
      </c>
      <c r="I61" s="5">
        <v>300</v>
      </c>
      <c r="S61" s="119" t="s">
        <v>1131</v>
      </c>
    </row>
    <row r="62" spans="1:19" x14ac:dyDescent="0.25">
      <c r="A62" s="116">
        <v>434001</v>
      </c>
      <c r="C62" s="5">
        <v>7</v>
      </c>
      <c r="D62" t="s">
        <v>1169</v>
      </c>
      <c r="E62" t="s">
        <v>49</v>
      </c>
      <c r="F62" s="5" t="s">
        <v>26</v>
      </c>
      <c r="G62" s="5">
        <v>1</v>
      </c>
      <c r="H62" s="5" t="s">
        <v>117</v>
      </c>
      <c r="I62" s="5">
        <v>300</v>
      </c>
      <c r="S62" s="119" t="s">
        <v>1098</v>
      </c>
    </row>
    <row r="63" spans="1:19" x14ac:dyDescent="0.25">
      <c r="A63" s="116">
        <v>434001</v>
      </c>
      <c r="C63" s="5">
        <v>7</v>
      </c>
      <c r="D63" t="s">
        <v>1170</v>
      </c>
      <c r="E63" t="s">
        <v>57</v>
      </c>
      <c r="F63" s="5" t="s">
        <v>26</v>
      </c>
      <c r="G63" s="5">
        <v>1</v>
      </c>
      <c r="H63" s="5" t="s">
        <v>117</v>
      </c>
      <c r="I63" s="5">
        <v>300</v>
      </c>
      <c r="S63" s="119" t="s">
        <v>1132</v>
      </c>
    </row>
    <row r="64" spans="1:19" x14ac:dyDescent="0.25">
      <c r="A64" s="116">
        <v>434001</v>
      </c>
      <c r="C64" s="5">
        <v>7</v>
      </c>
      <c r="D64" t="s">
        <v>1171</v>
      </c>
      <c r="E64" t="s">
        <v>65</v>
      </c>
      <c r="F64" s="5" t="s">
        <v>26</v>
      </c>
      <c r="G64" s="5">
        <v>1</v>
      </c>
      <c r="H64" s="5" t="s">
        <v>117</v>
      </c>
      <c r="I64" s="5">
        <v>300</v>
      </c>
      <c r="S64" s="119" t="s">
        <v>1100</v>
      </c>
    </row>
    <row r="65" spans="1:19" x14ac:dyDescent="0.25">
      <c r="A65" s="116">
        <v>434001</v>
      </c>
      <c r="C65" s="5">
        <v>7</v>
      </c>
      <c r="D65" t="s">
        <v>1172</v>
      </c>
      <c r="E65" t="s">
        <v>54</v>
      </c>
      <c r="F65" s="5" t="s">
        <v>26</v>
      </c>
      <c r="G65" s="5">
        <v>1</v>
      </c>
      <c r="H65" s="5" t="s">
        <v>117</v>
      </c>
      <c r="I65" s="5">
        <v>300</v>
      </c>
      <c r="S65" s="119" t="s">
        <v>1133</v>
      </c>
    </row>
    <row r="66" spans="1:19" x14ac:dyDescent="0.25">
      <c r="A66" s="116">
        <v>434001</v>
      </c>
      <c r="C66" s="5">
        <v>7</v>
      </c>
      <c r="D66" t="s">
        <v>1173</v>
      </c>
      <c r="E66" t="s">
        <v>38</v>
      </c>
      <c r="F66" s="5" t="s">
        <v>26</v>
      </c>
      <c r="G66" s="5">
        <v>1</v>
      </c>
      <c r="H66" s="5" t="s">
        <v>117</v>
      </c>
      <c r="I66" s="5">
        <v>300</v>
      </c>
      <c r="S66" s="114" t="s">
        <v>1035</v>
      </c>
    </row>
    <row r="67" spans="1:19" x14ac:dyDescent="0.25">
      <c r="A67" s="116">
        <v>434001</v>
      </c>
      <c r="C67" s="5">
        <v>7</v>
      </c>
      <c r="D67" t="s">
        <v>1053</v>
      </c>
      <c r="E67" t="s">
        <v>77</v>
      </c>
      <c r="F67" s="5" t="s">
        <v>26</v>
      </c>
      <c r="G67" s="5">
        <v>1</v>
      </c>
      <c r="H67" s="5" t="s">
        <v>117</v>
      </c>
      <c r="I67" s="5">
        <v>300</v>
      </c>
      <c r="S67" s="119" t="s">
        <v>1054</v>
      </c>
    </row>
    <row r="68" spans="1:19" x14ac:dyDescent="0.25">
      <c r="A68" s="115">
        <v>434001</v>
      </c>
      <c r="B68" s="59"/>
      <c r="C68" s="57">
        <v>8</v>
      </c>
      <c r="D68" s="59" t="s">
        <v>1109</v>
      </c>
      <c r="E68" s="59"/>
      <c r="F68" s="57" t="s">
        <v>21</v>
      </c>
      <c r="G68" s="57">
        <v>1</v>
      </c>
      <c r="H68" s="57" t="s">
        <v>117</v>
      </c>
      <c r="I68" s="57">
        <v>300</v>
      </c>
      <c r="J68" s="59"/>
      <c r="K68" s="59"/>
      <c r="L68" s="59"/>
      <c r="M68" s="59"/>
      <c r="N68" s="59"/>
      <c r="O68" s="59"/>
      <c r="P68" s="59"/>
      <c r="Q68" s="59"/>
      <c r="R68" s="59"/>
      <c r="S68" s="59" t="s">
        <v>1101</v>
      </c>
    </row>
    <row r="69" spans="1:19" x14ac:dyDescent="0.25">
      <c r="A69" s="116">
        <v>434001</v>
      </c>
      <c r="C69" s="5">
        <v>8</v>
      </c>
      <c r="D69" t="s">
        <v>1110</v>
      </c>
      <c r="E69" t="s">
        <v>29</v>
      </c>
      <c r="F69" s="5" t="s">
        <v>26</v>
      </c>
      <c r="G69" s="5">
        <v>1</v>
      </c>
      <c r="H69" s="5" t="s">
        <v>117</v>
      </c>
      <c r="I69" s="5">
        <v>300</v>
      </c>
      <c r="S69" s="119" t="s">
        <v>1057</v>
      </c>
    </row>
    <row r="70" spans="1:19" x14ac:dyDescent="0.25">
      <c r="A70" s="116">
        <v>434001</v>
      </c>
      <c r="C70" s="5">
        <v>8</v>
      </c>
      <c r="D70" t="s">
        <v>1111</v>
      </c>
      <c r="E70" t="s">
        <v>25</v>
      </c>
      <c r="F70" s="5" t="s">
        <v>26</v>
      </c>
      <c r="G70" s="5">
        <v>1</v>
      </c>
      <c r="H70" s="5" t="s">
        <v>117</v>
      </c>
      <c r="I70" s="5">
        <v>300</v>
      </c>
      <c r="S70" s="119" t="s">
        <v>1058</v>
      </c>
    </row>
    <row r="71" spans="1:19" x14ac:dyDescent="0.25">
      <c r="A71" s="116">
        <v>434001</v>
      </c>
      <c r="C71" s="5">
        <v>8</v>
      </c>
      <c r="D71" t="s">
        <v>1113</v>
      </c>
      <c r="E71" t="s">
        <v>27</v>
      </c>
      <c r="F71" s="5" t="s">
        <v>26</v>
      </c>
      <c r="G71" s="5">
        <v>1</v>
      </c>
      <c r="H71" s="5" t="s">
        <v>117</v>
      </c>
      <c r="I71" s="5">
        <v>300</v>
      </c>
      <c r="S71" s="119" t="s">
        <v>1105</v>
      </c>
    </row>
    <row r="72" spans="1:19" x14ac:dyDescent="0.25">
      <c r="A72" s="116">
        <v>434001</v>
      </c>
      <c r="C72" s="5">
        <v>8</v>
      </c>
      <c r="D72" t="s">
        <v>1182</v>
      </c>
      <c r="E72" t="s">
        <v>35</v>
      </c>
      <c r="F72" s="5" t="s">
        <v>26</v>
      </c>
      <c r="G72" s="5">
        <v>1</v>
      </c>
      <c r="H72" s="5" t="s">
        <v>117</v>
      </c>
      <c r="I72" s="5">
        <v>300</v>
      </c>
      <c r="S72" s="119" t="s">
        <v>1107</v>
      </c>
    </row>
    <row r="73" spans="1:19" x14ac:dyDescent="0.25">
      <c r="A73" s="116">
        <v>434001</v>
      </c>
      <c r="C73" s="5">
        <v>8</v>
      </c>
      <c r="D73" t="s">
        <v>1114</v>
      </c>
      <c r="E73" t="s">
        <v>31</v>
      </c>
      <c r="F73" s="5" t="s">
        <v>26</v>
      </c>
      <c r="G73" s="5">
        <v>1</v>
      </c>
      <c r="H73" s="5" t="s">
        <v>117</v>
      </c>
      <c r="I73" s="5">
        <v>300</v>
      </c>
      <c r="S73" s="119" t="s">
        <v>1106</v>
      </c>
    </row>
    <row r="74" spans="1:19" x14ac:dyDescent="0.25">
      <c r="A74" s="116">
        <v>434001</v>
      </c>
      <c r="C74" s="5">
        <v>8</v>
      </c>
      <c r="D74" t="s">
        <v>1183</v>
      </c>
      <c r="E74" t="s">
        <v>33</v>
      </c>
      <c r="F74" s="5" t="s">
        <v>26</v>
      </c>
      <c r="G74" s="5">
        <v>1</v>
      </c>
      <c r="H74" s="5" t="s">
        <v>117</v>
      </c>
      <c r="I74" s="5">
        <v>300</v>
      </c>
      <c r="S74" s="119" t="s">
        <v>1129</v>
      </c>
    </row>
    <row r="75" spans="1:19" x14ac:dyDescent="0.25">
      <c r="A75" s="116">
        <v>434001</v>
      </c>
      <c r="C75" s="5">
        <v>8</v>
      </c>
      <c r="D75" t="s">
        <v>1184</v>
      </c>
      <c r="E75" t="s">
        <v>36</v>
      </c>
      <c r="F75" s="5" t="s">
        <v>26</v>
      </c>
      <c r="G75" s="5">
        <v>1</v>
      </c>
      <c r="H75" s="5" t="s">
        <v>117</v>
      </c>
      <c r="I75" s="5">
        <v>300</v>
      </c>
      <c r="S75" s="119" t="s">
        <v>1108</v>
      </c>
    </row>
    <row r="76" spans="1:19" x14ac:dyDescent="0.25">
      <c r="A76" s="116">
        <v>434001</v>
      </c>
      <c r="C76" s="5">
        <v>8</v>
      </c>
      <c r="D76" t="s">
        <v>1185</v>
      </c>
      <c r="E76" t="s">
        <v>49</v>
      </c>
      <c r="F76" s="5" t="s">
        <v>26</v>
      </c>
      <c r="G76" s="5">
        <v>1</v>
      </c>
      <c r="H76" s="5" t="s">
        <v>117</v>
      </c>
      <c r="I76" s="5">
        <v>300</v>
      </c>
      <c r="S76" s="119" t="s">
        <v>1130</v>
      </c>
    </row>
    <row r="77" spans="1:19" x14ac:dyDescent="0.25">
      <c r="A77" s="116">
        <v>434001</v>
      </c>
      <c r="C77" s="5">
        <v>8</v>
      </c>
      <c r="D77" t="s">
        <v>1186</v>
      </c>
      <c r="E77" t="s">
        <v>57</v>
      </c>
      <c r="F77" s="5" t="s">
        <v>26</v>
      </c>
      <c r="G77" s="5">
        <v>1</v>
      </c>
      <c r="H77" s="5" t="s">
        <v>117</v>
      </c>
      <c r="I77" s="5">
        <v>300</v>
      </c>
      <c r="S77" s="114" t="s">
        <v>1035</v>
      </c>
    </row>
    <row r="78" spans="1:19" x14ac:dyDescent="0.25">
      <c r="A78" s="116">
        <v>434001</v>
      </c>
      <c r="C78" s="5">
        <v>8</v>
      </c>
      <c r="D78" t="s">
        <v>1112</v>
      </c>
      <c r="E78" t="s">
        <v>65</v>
      </c>
      <c r="F78" s="5" t="s">
        <v>26</v>
      </c>
      <c r="G78" s="5">
        <v>1</v>
      </c>
      <c r="H78" s="5" t="s">
        <v>117</v>
      </c>
      <c r="I78" s="5">
        <v>300</v>
      </c>
      <c r="S78" s="119" t="s">
        <v>1059</v>
      </c>
    </row>
    <row r="79" spans="1:19" x14ac:dyDescent="0.25">
      <c r="A79" s="115">
        <v>434001</v>
      </c>
      <c r="B79" s="59"/>
      <c r="C79" s="57">
        <v>9</v>
      </c>
      <c r="D79" s="59" t="s">
        <v>1187</v>
      </c>
      <c r="E79" s="59"/>
      <c r="F79" s="57" t="s">
        <v>21</v>
      </c>
      <c r="G79" s="57">
        <v>1</v>
      </c>
      <c r="H79" s="57" t="s">
        <v>117</v>
      </c>
      <c r="I79" s="57">
        <v>300</v>
      </c>
      <c r="J79" s="59"/>
      <c r="K79" s="59"/>
      <c r="L79" s="59"/>
      <c r="M79" s="59"/>
      <c r="N79" s="59"/>
      <c r="O79" s="59"/>
      <c r="P79" s="59"/>
      <c r="Q79" s="59"/>
      <c r="R79" s="59"/>
      <c r="S79" s="59" t="s">
        <v>1134</v>
      </c>
    </row>
    <row r="80" spans="1:19" x14ac:dyDescent="0.25">
      <c r="A80" s="116">
        <v>434001</v>
      </c>
      <c r="C80" s="5">
        <v>9</v>
      </c>
      <c r="D80" t="s">
        <v>1188</v>
      </c>
      <c r="E80" t="s">
        <v>29</v>
      </c>
      <c r="F80" s="5" t="s">
        <v>26</v>
      </c>
      <c r="G80" s="5">
        <v>1</v>
      </c>
      <c r="H80" s="5" t="s">
        <v>117</v>
      </c>
      <c r="I80" s="5">
        <v>300</v>
      </c>
      <c r="S80" s="119" t="s">
        <v>1135</v>
      </c>
    </row>
    <row r="81" spans="1:19" x14ac:dyDescent="0.25">
      <c r="A81" s="116">
        <v>434001</v>
      </c>
      <c r="C81" s="5">
        <v>9</v>
      </c>
      <c r="D81" t="s">
        <v>1189</v>
      </c>
      <c r="E81" t="s">
        <v>25</v>
      </c>
      <c r="F81" s="5" t="s">
        <v>26</v>
      </c>
      <c r="G81" s="5">
        <v>1</v>
      </c>
      <c r="H81" s="5" t="s">
        <v>117</v>
      </c>
      <c r="I81" s="5">
        <v>300</v>
      </c>
      <c r="S81" s="119" t="s">
        <v>1136</v>
      </c>
    </row>
    <row r="82" spans="1:19" x14ac:dyDescent="0.25">
      <c r="A82" s="116">
        <v>434001</v>
      </c>
      <c r="C82" s="5">
        <v>9</v>
      </c>
      <c r="D82" t="s">
        <v>1190</v>
      </c>
      <c r="E82" t="s">
        <v>27</v>
      </c>
      <c r="F82" s="5" t="s">
        <v>26</v>
      </c>
      <c r="G82" s="5">
        <v>1</v>
      </c>
      <c r="H82" s="5" t="s">
        <v>117</v>
      </c>
      <c r="I82" s="5">
        <v>300</v>
      </c>
      <c r="S82" s="119" t="s">
        <v>1137</v>
      </c>
    </row>
    <row r="83" spans="1:19" x14ac:dyDescent="0.25">
      <c r="A83" s="116">
        <v>434001</v>
      </c>
      <c r="C83" s="5">
        <v>9</v>
      </c>
      <c r="D83" t="s">
        <v>1194</v>
      </c>
      <c r="E83" t="s">
        <v>35</v>
      </c>
      <c r="F83" s="5" t="s">
        <v>26</v>
      </c>
      <c r="G83" s="5">
        <v>1</v>
      </c>
      <c r="H83" s="5" t="s">
        <v>117</v>
      </c>
      <c r="I83" s="5">
        <v>300</v>
      </c>
      <c r="S83" s="119" t="s">
        <v>1140</v>
      </c>
    </row>
    <row r="84" spans="1:19" x14ac:dyDescent="0.25">
      <c r="A84" s="116">
        <v>434001</v>
      </c>
      <c r="C84" s="5">
        <v>9</v>
      </c>
      <c r="D84" t="s">
        <v>1191</v>
      </c>
      <c r="E84" t="s">
        <v>31</v>
      </c>
      <c r="F84" s="5" t="s">
        <v>26</v>
      </c>
      <c r="G84" s="5">
        <v>1</v>
      </c>
      <c r="H84" s="5" t="s">
        <v>117</v>
      </c>
      <c r="I84" s="5">
        <v>300</v>
      </c>
      <c r="S84" s="119" t="s">
        <v>1138</v>
      </c>
    </row>
    <row r="85" spans="1:19" x14ac:dyDescent="0.25">
      <c r="A85" s="116">
        <v>434001</v>
      </c>
      <c r="C85" s="5">
        <v>9</v>
      </c>
      <c r="D85" t="s">
        <v>1192</v>
      </c>
      <c r="E85" t="s">
        <v>33</v>
      </c>
      <c r="F85" s="5" t="s">
        <v>26</v>
      </c>
      <c r="G85" s="5">
        <v>1</v>
      </c>
      <c r="H85" s="5" t="s">
        <v>117</v>
      </c>
      <c r="I85" s="5">
        <v>300</v>
      </c>
      <c r="S85" s="119" t="s">
        <v>1139</v>
      </c>
    </row>
    <row r="86" spans="1:19" x14ac:dyDescent="0.25">
      <c r="A86" s="116">
        <v>434001</v>
      </c>
      <c r="C86" s="5">
        <v>9</v>
      </c>
      <c r="D86" t="s">
        <v>1195</v>
      </c>
      <c r="E86" t="s">
        <v>36</v>
      </c>
      <c r="F86" s="5" t="s">
        <v>26</v>
      </c>
      <c r="G86" s="5">
        <v>1</v>
      </c>
      <c r="H86" s="5" t="s">
        <v>117</v>
      </c>
      <c r="I86" s="5">
        <v>300</v>
      </c>
      <c r="S86" s="119" t="s">
        <v>1141</v>
      </c>
    </row>
    <row r="87" spans="1:19" x14ac:dyDescent="0.25">
      <c r="A87" s="116">
        <v>434001</v>
      </c>
      <c r="C87" s="5">
        <v>9</v>
      </c>
      <c r="D87" t="s">
        <v>1196</v>
      </c>
      <c r="E87" t="s">
        <v>49</v>
      </c>
      <c r="F87" s="5" t="s">
        <v>26</v>
      </c>
      <c r="G87" s="5">
        <v>1</v>
      </c>
      <c r="H87" s="5" t="s">
        <v>117</v>
      </c>
      <c r="I87" s="5">
        <v>300</v>
      </c>
      <c r="S87" s="119" t="s">
        <v>1142</v>
      </c>
    </row>
    <row r="88" spans="1:19" x14ac:dyDescent="0.25">
      <c r="A88" s="116">
        <v>434001</v>
      </c>
      <c r="C88" s="5">
        <v>9</v>
      </c>
      <c r="D88" t="s">
        <v>1193</v>
      </c>
      <c r="E88" t="s">
        <v>65</v>
      </c>
      <c r="F88" s="5" t="s">
        <v>26</v>
      </c>
      <c r="G88" s="5">
        <v>1</v>
      </c>
      <c r="H88" s="5" t="s">
        <v>117</v>
      </c>
      <c r="I88" s="5">
        <v>300</v>
      </c>
      <c r="S88" s="119" t="s">
        <v>1144</v>
      </c>
    </row>
    <row r="89" spans="1:19" x14ac:dyDescent="0.25">
      <c r="A89" s="115">
        <v>434001</v>
      </c>
      <c r="B89" s="59"/>
      <c r="C89" s="57">
        <v>10</v>
      </c>
      <c r="D89" s="59" t="s">
        <v>1197</v>
      </c>
      <c r="E89" s="59"/>
      <c r="F89" s="57" t="s">
        <v>21</v>
      </c>
      <c r="G89" s="57">
        <v>1</v>
      </c>
      <c r="H89" s="57" t="s">
        <v>117</v>
      </c>
      <c r="I89" s="57">
        <v>300</v>
      </c>
      <c r="J89" s="59"/>
      <c r="K89" s="59"/>
      <c r="L89" s="59"/>
      <c r="M89" s="59"/>
      <c r="N89" s="59"/>
      <c r="O89" s="59"/>
      <c r="P89" s="59"/>
      <c r="Q89" s="59"/>
      <c r="R89" s="59"/>
      <c r="S89" s="59" t="s">
        <v>1145</v>
      </c>
    </row>
    <row r="90" spans="1:19" x14ac:dyDescent="0.25">
      <c r="A90" s="116">
        <v>434001</v>
      </c>
      <c r="C90" s="5">
        <v>10</v>
      </c>
      <c r="D90" t="s">
        <v>1198</v>
      </c>
      <c r="E90" t="s">
        <v>29</v>
      </c>
      <c r="F90" s="5" t="s">
        <v>26</v>
      </c>
      <c r="G90" s="5">
        <v>1</v>
      </c>
      <c r="H90" s="5" t="s">
        <v>117</v>
      </c>
      <c r="I90" s="5">
        <v>300</v>
      </c>
      <c r="S90" s="119" t="s">
        <v>1146</v>
      </c>
    </row>
    <row r="91" spans="1:19" x14ac:dyDescent="0.25">
      <c r="A91" s="116">
        <v>434001</v>
      </c>
      <c r="C91" s="5">
        <v>10</v>
      </c>
      <c r="D91" t="s">
        <v>1199</v>
      </c>
      <c r="E91" t="s">
        <v>25</v>
      </c>
      <c r="F91" s="5" t="s">
        <v>26</v>
      </c>
      <c r="G91" s="5">
        <v>1</v>
      </c>
      <c r="H91" s="5" t="s">
        <v>117</v>
      </c>
      <c r="I91" s="5">
        <v>300</v>
      </c>
      <c r="S91" s="119" t="s">
        <v>1147</v>
      </c>
    </row>
    <row r="92" spans="1:19" x14ac:dyDescent="0.25">
      <c r="A92" s="116">
        <v>434001</v>
      </c>
      <c r="C92" s="5">
        <v>10</v>
      </c>
      <c r="D92" t="s">
        <v>1200</v>
      </c>
      <c r="E92" t="s">
        <v>27</v>
      </c>
      <c r="F92" s="5" t="s">
        <v>26</v>
      </c>
      <c r="G92" s="5">
        <v>1</v>
      </c>
      <c r="H92" s="5" t="s">
        <v>117</v>
      </c>
      <c r="I92" s="5">
        <v>300</v>
      </c>
      <c r="S92" s="119" t="s">
        <v>1148</v>
      </c>
    </row>
    <row r="93" spans="1:19" x14ac:dyDescent="0.25">
      <c r="A93" s="116">
        <v>434001</v>
      </c>
      <c r="C93" s="5">
        <v>10</v>
      </c>
      <c r="D93" t="s">
        <v>1201</v>
      </c>
      <c r="E93" t="s">
        <v>35</v>
      </c>
      <c r="F93" s="5" t="s">
        <v>26</v>
      </c>
      <c r="G93" s="5">
        <v>1</v>
      </c>
      <c r="H93" s="5" t="s">
        <v>117</v>
      </c>
      <c r="I93" s="5">
        <v>300</v>
      </c>
      <c r="S93" s="119" t="s">
        <v>1149</v>
      </c>
    </row>
    <row r="94" spans="1:19" x14ac:dyDescent="0.25">
      <c r="A94" s="116">
        <v>434001</v>
      </c>
      <c r="C94" s="5">
        <v>10</v>
      </c>
      <c r="D94" t="s">
        <v>1202</v>
      </c>
      <c r="E94" t="s">
        <v>31</v>
      </c>
      <c r="F94" s="5" t="s">
        <v>26</v>
      </c>
      <c r="G94" s="5">
        <v>1</v>
      </c>
      <c r="H94" s="5" t="s">
        <v>117</v>
      </c>
      <c r="I94" s="5">
        <v>300</v>
      </c>
      <c r="S94" s="119" t="s">
        <v>1150</v>
      </c>
    </row>
    <row r="95" spans="1:19" x14ac:dyDescent="0.25">
      <c r="A95" s="116">
        <v>434001</v>
      </c>
      <c r="C95" s="5">
        <v>10</v>
      </c>
      <c r="D95" t="s">
        <v>1203</v>
      </c>
      <c r="E95" t="s">
        <v>33</v>
      </c>
      <c r="F95" s="5" t="s">
        <v>26</v>
      </c>
      <c r="G95" s="5">
        <v>1</v>
      </c>
      <c r="H95" s="5" t="s">
        <v>117</v>
      </c>
      <c r="I95" s="5">
        <v>300</v>
      </c>
      <c r="S95" s="119" t="s">
        <v>1151</v>
      </c>
    </row>
    <row r="96" spans="1:19" x14ac:dyDescent="0.25">
      <c r="A96" s="116">
        <v>434001</v>
      </c>
      <c r="C96" s="5">
        <v>10</v>
      </c>
      <c r="D96" t="s">
        <v>1204</v>
      </c>
      <c r="E96" t="s">
        <v>36</v>
      </c>
      <c r="F96" s="5" t="s">
        <v>26</v>
      </c>
      <c r="G96" s="5">
        <v>1</v>
      </c>
      <c r="H96" s="5" t="s">
        <v>117</v>
      </c>
      <c r="I96" s="5">
        <v>300</v>
      </c>
      <c r="S96" s="119" t="s">
        <v>1152</v>
      </c>
    </row>
    <row r="97" spans="1:19" x14ac:dyDescent="0.25">
      <c r="A97" s="116">
        <v>434001</v>
      </c>
      <c r="C97" s="5">
        <v>10</v>
      </c>
      <c r="D97" t="s">
        <v>1205</v>
      </c>
      <c r="E97" t="s">
        <v>49</v>
      </c>
      <c r="F97" s="5" t="s">
        <v>26</v>
      </c>
      <c r="G97" s="5">
        <v>1</v>
      </c>
      <c r="H97" s="5" t="s">
        <v>117</v>
      </c>
      <c r="I97" s="5">
        <v>300</v>
      </c>
      <c r="S97" s="119" t="s">
        <v>1153</v>
      </c>
    </row>
    <row r="98" spans="1:19" x14ac:dyDescent="0.25">
      <c r="A98" s="116">
        <v>434001</v>
      </c>
      <c r="C98" s="5">
        <v>10</v>
      </c>
      <c r="D98" t="s">
        <v>1206</v>
      </c>
      <c r="E98" t="s">
        <v>65</v>
      </c>
      <c r="F98" s="5" t="s">
        <v>26</v>
      </c>
      <c r="G98" s="5">
        <v>1</v>
      </c>
      <c r="H98" s="5" t="s">
        <v>117</v>
      </c>
      <c r="I98" s="5">
        <v>300</v>
      </c>
      <c r="S98" s="119" t="s">
        <v>1143</v>
      </c>
    </row>
    <row r="99" spans="1:19" x14ac:dyDescent="0.25">
      <c r="A99" s="115">
        <v>434001</v>
      </c>
      <c r="B99" s="59"/>
      <c r="C99" s="57">
        <v>11</v>
      </c>
      <c r="D99" s="59" t="s">
        <v>1154</v>
      </c>
      <c r="E99" s="59"/>
      <c r="F99" s="57" t="s">
        <v>21</v>
      </c>
      <c r="G99" s="57">
        <v>1</v>
      </c>
      <c r="H99" s="57" t="s">
        <v>117</v>
      </c>
      <c r="I99" s="57">
        <v>300</v>
      </c>
      <c r="J99" s="59"/>
      <c r="K99" s="59"/>
      <c r="L99" s="59"/>
      <c r="M99" s="59"/>
      <c r="N99" s="59"/>
      <c r="O99" s="59"/>
      <c r="P99" s="59"/>
      <c r="Q99" s="59"/>
      <c r="R99" s="59"/>
      <c r="S99" s="59" t="s">
        <v>1155</v>
      </c>
    </row>
    <row r="100" spans="1:19" x14ac:dyDescent="0.25">
      <c r="A100" s="116">
        <v>434001</v>
      </c>
      <c r="C100" s="5">
        <v>11</v>
      </c>
      <c r="D100" t="s">
        <v>1207</v>
      </c>
      <c r="E100" t="s">
        <v>29</v>
      </c>
      <c r="F100" s="5" t="s">
        <v>26</v>
      </c>
      <c r="G100" s="5">
        <v>1</v>
      </c>
      <c r="H100" s="5" t="s">
        <v>117</v>
      </c>
      <c r="I100" s="5">
        <v>300</v>
      </c>
    </row>
    <row r="101" spans="1:19" x14ac:dyDescent="0.25">
      <c r="A101" s="116">
        <v>434001</v>
      </c>
      <c r="C101" s="5">
        <v>11</v>
      </c>
      <c r="D101" t="s">
        <v>1212</v>
      </c>
      <c r="E101" t="s">
        <v>25</v>
      </c>
      <c r="F101" s="5" t="s">
        <v>26</v>
      </c>
      <c r="G101" s="5">
        <v>1</v>
      </c>
      <c r="H101" s="5" t="s">
        <v>117</v>
      </c>
      <c r="I101" s="5">
        <v>300</v>
      </c>
      <c r="S101" s="119" t="s">
        <v>1087</v>
      </c>
    </row>
    <row r="102" spans="1:19" x14ac:dyDescent="0.25">
      <c r="A102" s="116">
        <v>434001</v>
      </c>
      <c r="C102" s="5">
        <v>11</v>
      </c>
      <c r="D102" t="s">
        <v>1208</v>
      </c>
      <c r="E102" t="s">
        <v>27</v>
      </c>
      <c r="F102" s="5" t="s">
        <v>26</v>
      </c>
      <c r="G102" s="5">
        <v>1</v>
      </c>
      <c r="H102" s="5" t="s">
        <v>117</v>
      </c>
      <c r="I102" s="5">
        <v>300</v>
      </c>
      <c r="S102" s="119" t="s">
        <v>1285</v>
      </c>
    </row>
    <row r="103" spans="1:19" x14ac:dyDescent="0.25">
      <c r="A103" s="116">
        <v>434001</v>
      </c>
      <c r="C103" s="5">
        <v>11</v>
      </c>
      <c r="D103" t="s">
        <v>1209</v>
      </c>
      <c r="E103" t="s">
        <v>35</v>
      </c>
      <c r="F103" s="5" t="s">
        <v>26</v>
      </c>
      <c r="G103" s="5">
        <v>1</v>
      </c>
      <c r="H103" s="5" t="s">
        <v>117</v>
      </c>
      <c r="I103" s="5">
        <v>300</v>
      </c>
      <c r="S103" s="119" t="s">
        <v>1286</v>
      </c>
    </row>
    <row r="104" spans="1:19" x14ac:dyDescent="0.25">
      <c r="A104" s="116">
        <v>434001</v>
      </c>
      <c r="C104" s="5">
        <v>11</v>
      </c>
      <c r="D104" t="s">
        <v>1210</v>
      </c>
      <c r="E104" t="s">
        <v>31</v>
      </c>
      <c r="F104" s="5" t="s">
        <v>26</v>
      </c>
      <c r="G104" s="5">
        <v>1</v>
      </c>
      <c r="H104" s="5" t="s">
        <v>117</v>
      </c>
      <c r="I104" s="5">
        <v>300</v>
      </c>
      <c r="S104" s="119" t="s">
        <v>1287</v>
      </c>
    </row>
    <row r="105" spans="1:19" x14ac:dyDescent="0.25">
      <c r="A105" s="116">
        <v>434001</v>
      </c>
      <c r="C105" s="5">
        <v>11</v>
      </c>
      <c r="D105" t="s">
        <v>1211</v>
      </c>
      <c r="E105" t="s">
        <v>33</v>
      </c>
      <c r="F105" s="5" t="s">
        <v>26</v>
      </c>
      <c r="G105" s="5">
        <v>1</v>
      </c>
      <c r="H105" s="5" t="s">
        <v>117</v>
      </c>
      <c r="I105" s="5">
        <v>300</v>
      </c>
      <c r="S105" s="119" t="s">
        <v>1288</v>
      </c>
    </row>
    <row r="106" spans="1:19" x14ac:dyDescent="0.25">
      <c r="A106" s="116">
        <v>434001</v>
      </c>
      <c r="C106" s="5">
        <v>11</v>
      </c>
      <c r="D106" t="s">
        <v>1283</v>
      </c>
      <c r="E106" t="s">
        <v>36</v>
      </c>
      <c r="F106" s="5" t="s">
        <v>26</v>
      </c>
      <c r="G106" s="5">
        <v>1</v>
      </c>
      <c r="H106" s="5" t="s">
        <v>117</v>
      </c>
      <c r="I106" s="5">
        <v>300</v>
      </c>
      <c r="S106" s="119" t="s">
        <v>1088</v>
      </c>
    </row>
    <row r="107" spans="1:19" x14ac:dyDescent="0.25">
      <c r="A107" s="116">
        <v>434001</v>
      </c>
      <c r="C107" s="5">
        <v>11</v>
      </c>
      <c r="D107" t="s">
        <v>1284</v>
      </c>
      <c r="E107" t="s">
        <v>49</v>
      </c>
      <c r="F107" s="5" t="s">
        <v>26</v>
      </c>
      <c r="G107" s="5">
        <v>1</v>
      </c>
      <c r="H107" s="5" t="s">
        <v>117</v>
      </c>
      <c r="I107" s="5">
        <v>300</v>
      </c>
      <c r="S107" s="119" t="s">
        <v>1289</v>
      </c>
    </row>
    <row r="108" spans="1:19" x14ac:dyDescent="0.25">
      <c r="A108" s="115">
        <v>434001</v>
      </c>
      <c r="B108" s="59"/>
      <c r="C108" s="57">
        <v>12</v>
      </c>
      <c r="D108" s="59" t="s">
        <v>1081</v>
      </c>
      <c r="E108" s="59"/>
      <c r="F108" s="57" t="s">
        <v>21</v>
      </c>
      <c r="G108" s="57">
        <v>1</v>
      </c>
      <c r="H108" s="57" t="s">
        <v>117</v>
      </c>
      <c r="I108" s="57">
        <v>300</v>
      </c>
      <c r="J108" s="59"/>
      <c r="K108" s="59"/>
      <c r="L108" s="59"/>
      <c r="M108" s="59"/>
      <c r="N108" s="59"/>
      <c r="O108" s="59"/>
      <c r="P108" s="59"/>
      <c r="Q108" s="59"/>
      <c r="R108" s="59"/>
      <c r="S108" s="59" t="s">
        <v>1156</v>
      </c>
    </row>
    <row r="109" spans="1:19" x14ac:dyDescent="0.25">
      <c r="A109" s="116">
        <v>434001</v>
      </c>
      <c r="C109" s="5">
        <v>12</v>
      </c>
      <c r="D109" t="s">
        <v>1252</v>
      </c>
      <c r="E109" t="s">
        <v>29</v>
      </c>
      <c r="F109" s="5" t="s">
        <v>26</v>
      </c>
      <c r="G109" s="5">
        <v>1</v>
      </c>
      <c r="H109" s="5" t="s">
        <v>117</v>
      </c>
      <c r="I109" s="5">
        <v>300</v>
      </c>
    </row>
    <row r="110" spans="1:19" x14ac:dyDescent="0.25">
      <c r="A110" s="116">
        <v>434001</v>
      </c>
      <c r="C110" s="5">
        <v>12</v>
      </c>
      <c r="D110" t="s">
        <v>1253</v>
      </c>
      <c r="E110" t="s">
        <v>25</v>
      </c>
      <c r="F110" s="5" t="s">
        <v>26</v>
      </c>
      <c r="G110" s="5">
        <v>1</v>
      </c>
      <c r="H110" s="5" t="s">
        <v>117</v>
      </c>
      <c r="I110" s="5">
        <v>300</v>
      </c>
      <c r="S110" s="119" t="s">
        <v>1077</v>
      </c>
    </row>
    <row r="111" spans="1:19" x14ac:dyDescent="0.25">
      <c r="A111" s="116">
        <v>434001</v>
      </c>
      <c r="C111" s="5">
        <v>12</v>
      </c>
      <c r="D111" t="s">
        <v>1254</v>
      </c>
      <c r="E111" t="s">
        <v>27</v>
      </c>
      <c r="F111" s="5" t="s">
        <v>26</v>
      </c>
      <c r="G111" s="5">
        <v>1</v>
      </c>
      <c r="H111" s="5" t="s">
        <v>117</v>
      </c>
      <c r="I111" s="5">
        <v>300</v>
      </c>
      <c r="S111" s="119" t="s">
        <v>1157</v>
      </c>
    </row>
    <row r="112" spans="1:19" x14ac:dyDescent="0.25">
      <c r="A112" s="116">
        <v>434001</v>
      </c>
      <c r="C112" s="5">
        <v>12</v>
      </c>
      <c r="D112" t="s">
        <v>1255</v>
      </c>
      <c r="E112" t="s">
        <v>35</v>
      </c>
      <c r="F112" s="5" t="s">
        <v>26</v>
      </c>
      <c r="G112" s="5">
        <v>1</v>
      </c>
      <c r="H112" s="5" t="s">
        <v>117</v>
      </c>
      <c r="I112" s="5">
        <v>300</v>
      </c>
      <c r="S112" s="119" t="s">
        <v>1158</v>
      </c>
    </row>
    <row r="113" spans="1:19" x14ac:dyDescent="0.25">
      <c r="A113" s="116">
        <v>434001</v>
      </c>
      <c r="C113" s="5">
        <v>12</v>
      </c>
      <c r="D113" t="s">
        <v>1256</v>
      </c>
      <c r="E113" t="s">
        <v>31</v>
      </c>
      <c r="F113" s="5" t="s">
        <v>26</v>
      </c>
      <c r="G113" s="5">
        <v>1</v>
      </c>
      <c r="H113" s="5" t="s">
        <v>117</v>
      </c>
      <c r="I113" s="5">
        <v>300</v>
      </c>
      <c r="S113" s="119" t="s">
        <v>1078</v>
      </c>
    </row>
    <row r="114" spans="1:19" x14ac:dyDescent="0.25">
      <c r="A114" s="116">
        <v>434001</v>
      </c>
      <c r="C114" s="5">
        <v>12</v>
      </c>
      <c r="D114" t="s">
        <v>1257</v>
      </c>
      <c r="E114" t="s">
        <v>33</v>
      </c>
      <c r="F114" s="5" t="s">
        <v>26</v>
      </c>
      <c r="G114" s="5">
        <v>1</v>
      </c>
      <c r="H114" s="5" t="s">
        <v>117</v>
      </c>
      <c r="I114" s="5">
        <v>300</v>
      </c>
      <c r="S114" s="119" t="s">
        <v>1159</v>
      </c>
    </row>
    <row r="115" spans="1:19" x14ac:dyDescent="0.25">
      <c r="A115" s="116">
        <v>434001</v>
      </c>
      <c r="C115" s="5">
        <v>12</v>
      </c>
      <c r="D115" t="s">
        <v>1258</v>
      </c>
      <c r="E115" t="s">
        <v>36</v>
      </c>
      <c r="F115" s="5" t="s">
        <v>26</v>
      </c>
      <c r="G115" s="5">
        <v>1</v>
      </c>
      <c r="H115" s="5" t="s">
        <v>117</v>
      </c>
      <c r="I115" s="5">
        <v>300</v>
      </c>
      <c r="S115" s="119" t="s">
        <v>1079</v>
      </c>
    </row>
    <row r="116" spans="1:19" x14ac:dyDescent="0.25">
      <c r="A116" s="116">
        <v>434001</v>
      </c>
      <c r="C116" s="5">
        <v>12</v>
      </c>
      <c r="D116" t="s">
        <v>1259</v>
      </c>
      <c r="E116" t="s">
        <v>49</v>
      </c>
      <c r="F116" s="5" t="s">
        <v>26</v>
      </c>
      <c r="G116" s="5">
        <v>1</v>
      </c>
      <c r="H116" s="5" t="s">
        <v>117</v>
      </c>
      <c r="I116" s="5">
        <v>300</v>
      </c>
      <c r="S116" s="119" t="s">
        <v>1080</v>
      </c>
    </row>
    <row r="117" spans="1:19" x14ac:dyDescent="0.25">
      <c r="A117" s="115">
        <v>434001</v>
      </c>
      <c r="B117" s="59"/>
      <c r="C117" s="57">
        <v>13</v>
      </c>
      <c r="D117" s="59" t="s">
        <v>1160</v>
      </c>
      <c r="E117" s="59"/>
      <c r="F117" s="57" t="s">
        <v>21</v>
      </c>
      <c r="G117" s="57">
        <v>1</v>
      </c>
      <c r="H117" s="57" t="s">
        <v>117</v>
      </c>
      <c r="I117" s="57">
        <v>300</v>
      </c>
      <c r="J117" s="59"/>
      <c r="K117" s="59"/>
      <c r="L117" s="59"/>
      <c r="M117" s="59"/>
      <c r="N117" s="59"/>
      <c r="O117" s="59"/>
      <c r="P117" s="59"/>
      <c r="Q117" s="59"/>
      <c r="R117" s="59"/>
      <c r="S117" s="59" t="s">
        <v>1161</v>
      </c>
    </row>
    <row r="118" spans="1:19" x14ac:dyDescent="0.25">
      <c r="A118" s="116">
        <v>434001</v>
      </c>
      <c r="C118" s="5">
        <v>13</v>
      </c>
      <c r="D118" t="s">
        <v>1213</v>
      </c>
      <c r="E118" t="s">
        <v>29</v>
      </c>
      <c r="F118" s="5" t="s">
        <v>26</v>
      </c>
      <c r="G118" s="5">
        <v>1</v>
      </c>
      <c r="H118" s="5" t="s">
        <v>117</v>
      </c>
      <c r="I118" s="5">
        <v>300</v>
      </c>
    </row>
    <row r="119" spans="1:19" x14ac:dyDescent="0.25">
      <c r="A119" s="116">
        <v>434001</v>
      </c>
      <c r="C119" s="5">
        <v>13</v>
      </c>
      <c r="D119" t="s">
        <v>1220</v>
      </c>
      <c r="E119" t="s">
        <v>25</v>
      </c>
      <c r="F119" s="5" t="s">
        <v>26</v>
      </c>
      <c r="G119" s="5">
        <v>1</v>
      </c>
      <c r="H119" s="5" t="s">
        <v>117</v>
      </c>
      <c r="I119" s="5">
        <v>300</v>
      </c>
      <c r="S119" s="119" t="s">
        <v>1102</v>
      </c>
    </row>
    <row r="120" spans="1:19" x14ac:dyDescent="0.25">
      <c r="A120" s="116">
        <v>434001</v>
      </c>
      <c r="C120" s="5">
        <v>13</v>
      </c>
      <c r="D120" t="s">
        <v>1214</v>
      </c>
      <c r="E120" t="s">
        <v>27</v>
      </c>
      <c r="F120" s="5" t="s">
        <v>26</v>
      </c>
      <c r="G120" s="5">
        <v>1</v>
      </c>
      <c r="H120" s="5" t="s">
        <v>117</v>
      </c>
      <c r="I120" s="5">
        <v>300</v>
      </c>
      <c r="S120" s="119" t="s">
        <v>1162</v>
      </c>
    </row>
    <row r="121" spans="1:19" x14ac:dyDescent="0.25">
      <c r="A121" s="116">
        <v>434001</v>
      </c>
      <c r="C121" s="5">
        <v>13</v>
      </c>
      <c r="D121" t="s">
        <v>1215</v>
      </c>
      <c r="E121" t="s">
        <v>35</v>
      </c>
      <c r="F121" s="5" t="s">
        <v>26</v>
      </c>
      <c r="G121" s="5">
        <v>1</v>
      </c>
      <c r="H121" s="5" t="s">
        <v>117</v>
      </c>
      <c r="I121" s="5">
        <v>300</v>
      </c>
      <c r="S121" s="119" t="s">
        <v>1163</v>
      </c>
    </row>
    <row r="122" spans="1:19" x14ac:dyDescent="0.25">
      <c r="A122" s="116">
        <v>434001</v>
      </c>
      <c r="C122" s="5">
        <v>13</v>
      </c>
      <c r="D122" t="s">
        <v>1216</v>
      </c>
      <c r="E122" t="s">
        <v>31</v>
      </c>
      <c r="F122" s="5" t="s">
        <v>26</v>
      </c>
      <c r="G122" s="5">
        <v>1</v>
      </c>
      <c r="H122" s="5" t="s">
        <v>117</v>
      </c>
      <c r="I122" s="5">
        <v>300</v>
      </c>
      <c r="S122" s="119" t="s">
        <v>1103</v>
      </c>
    </row>
    <row r="123" spans="1:19" x14ac:dyDescent="0.25">
      <c r="A123" s="116">
        <v>434001</v>
      </c>
      <c r="C123" s="5">
        <v>13</v>
      </c>
      <c r="D123" t="s">
        <v>1217</v>
      </c>
      <c r="E123" t="s">
        <v>33</v>
      </c>
      <c r="F123" s="5" t="s">
        <v>26</v>
      </c>
      <c r="G123" s="5">
        <v>1</v>
      </c>
      <c r="H123" s="5" t="s">
        <v>117</v>
      </c>
      <c r="I123" s="5">
        <v>300</v>
      </c>
      <c r="S123" s="119" t="s">
        <v>1164</v>
      </c>
    </row>
    <row r="124" spans="1:19" x14ac:dyDescent="0.25">
      <c r="A124" s="116">
        <v>434001</v>
      </c>
      <c r="C124" s="5">
        <v>13</v>
      </c>
      <c r="D124" t="s">
        <v>1218</v>
      </c>
      <c r="E124" t="s">
        <v>36</v>
      </c>
      <c r="F124" s="5" t="s">
        <v>26</v>
      </c>
      <c r="G124" s="5">
        <v>1</v>
      </c>
      <c r="H124" s="5" t="s">
        <v>117</v>
      </c>
      <c r="I124" s="5">
        <v>300</v>
      </c>
      <c r="S124" s="119" t="s">
        <v>1104</v>
      </c>
    </row>
    <row r="125" spans="1:19" x14ac:dyDescent="0.25">
      <c r="A125" s="116">
        <v>434001</v>
      </c>
      <c r="C125" s="5">
        <v>13</v>
      </c>
      <c r="D125" t="s">
        <v>1219</v>
      </c>
      <c r="E125" t="s">
        <v>49</v>
      </c>
      <c r="F125" s="5" t="s">
        <v>26</v>
      </c>
      <c r="G125" s="5">
        <v>1</v>
      </c>
      <c r="H125" s="5" t="s">
        <v>117</v>
      </c>
      <c r="I125" s="5">
        <v>300</v>
      </c>
      <c r="S125" s="119" t="s">
        <v>1165</v>
      </c>
    </row>
    <row r="126" spans="1:19" x14ac:dyDescent="0.25">
      <c r="A126" s="115">
        <v>434001</v>
      </c>
      <c r="B126" s="59"/>
      <c r="C126" s="57">
        <v>14</v>
      </c>
      <c r="D126" s="59" t="s">
        <v>1060</v>
      </c>
      <c r="E126" s="59"/>
      <c r="F126" s="57" t="s">
        <v>21</v>
      </c>
      <c r="G126" s="57">
        <v>1</v>
      </c>
      <c r="H126" s="57" t="s">
        <v>117</v>
      </c>
      <c r="I126" s="57">
        <v>300</v>
      </c>
      <c r="J126" s="59"/>
      <c r="K126" s="59"/>
      <c r="L126" s="59"/>
      <c r="M126" s="59"/>
      <c r="N126" s="59"/>
      <c r="O126" s="59"/>
      <c r="P126" s="59"/>
      <c r="Q126" s="59"/>
      <c r="R126" s="59"/>
      <c r="S126" s="120" t="s">
        <v>1061</v>
      </c>
    </row>
    <row r="127" spans="1:19" x14ac:dyDescent="0.25">
      <c r="A127" s="116">
        <v>434001</v>
      </c>
      <c r="C127" s="5">
        <v>14</v>
      </c>
      <c r="D127" t="s">
        <v>1062</v>
      </c>
      <c r="E127" t="s">
        <v>29</v>
      </c>
      <c r="F127" s="5" t="s">
        <v>26</v>
      </c>
      <c r="G127" s="5">
        <v>1</v>
      </c>
      <c r="H127" s="5" t="s">
        <v>117</v>
      </c>
      <c r="I127" s="5">
        <v>300</v>
      </c>
      <c r="S127" s="119" t="s">
        <v>1063</v>
      </c>
    </row>
    <row r="128" spans="1:19" x14ac:dyDescent="0.25">
      <c r="A128" s="116">
        <v>434001</v>
      </c>
      <c r="C128" s="5">
        <v>14</v>
      </c>
      <c r="D128" t="s">
        <v>1064</v>
      </c>
      <c r="E128" t="s">
        <v>25</v>
      </c>
      <c r="F128" s="5" t="s">
        <v>26</v>
      </c>
      <c r="G128" s="5">
        <v>1</v>
      </c>
      <c r="H128" s="5" t="s">
        <v>117</v>
      </c>
      <c r="I128" s="5">
        <v>300</v>
      </c>
      <c r="S128" s="119" t="s">
        <v>1065</v>
      </c>
    </row>
    <row r="129" spans="1:19" x14ac:dyDescent="0.25">
      <c r="A129" s="116">
        <v>434001</v>
      </c>
      <c r="C129" s="5">
        <v>14</v>
      </c>
      <c r="D129" t="s">
        <v>1066</v>
      </c>
      <c r="E129" t="s">
        <v>27</v>
      </c>
      <c r="F129" s="5" t="s">
        <v>26</v>
      </c>
      <c r="G129" s="5">
        <v>1</v>
      </c>
      <c r="H129" s="5" t="s">
        <v>117</v>
      </c>
      <c r="I129" s="5">
        <v>300</v>
      </c>
      <c r="S129" s="119" t="s">
        <v>1067</v>
      </c>
    </row>
    <row r="130" spans="1:19" x14ac:dyDescent="0.25">
      <c r="A130" s="116">
        <v>434001</v>
      </c>
      <c r="C130" s="5">
        <v>14</v>
      </c>
      <c r="D130" t="s">
        <v>1068</v>
      </c>
      <c r="E130" t="s">
        <v>35</v>
      </c>
      <c r="F130" s="5" t="s">
        <v>26</v>
      </c>
      <c r="G130" s="5">
        <v>1</v>
      </c>
      <c r="H130" s="5" t="s">
        <v>117</v>
      </c>
      <c r="I130" s="5">
        <v>300</v>
      </c>
      <c r="S130" t="s">
        <v>1069</v>
      </c>
    </row>
    <row r="131" spans="1:19" x14ac:dyDescent="0.25">
      <c r="A131" s="116">
        <v>434001</v>
      </c>
      <c r="C131" s="5">
        <v>14</v>
      </c>
      <c r="D131" t="s">
        <v>1070</v>
      </c>
      <c r="E131" t="s">
        <v>31</v>
      </c>
      <c r="F131" s="5" t="s">
        <v>26</v>
      </c>
      <c r="G131" s="5">
        <v>1</v>
      </c>
      <c r="H131" s="5" t="s">
        <v>117</v>
      </c>
      <c r="I131" s="5">
        <v>300</v>
      </c>
      <c r="S131" t="s">
        <v>1071</v>
      </c>
    </row>
    <row r="132" spans="1:19" x14ac:dyDescent="0.25">
      <c r="A132" s="116">
        <v>434001</v>
      </c>
      <c r="C132" s="5">
        <v>14</v>
      </c>
      <c r="D132" t="s">
        <v>1072</v>
      </c>
      <c r="E132" t="s">
        <v>33</v>
      </c>
      <c r="F132" s="5" t="s">
        <v>26</v>
      </c>
      <c r="G132" s="5">
        <v>1</v>
      </c>
      <c r="H132" s="5" t="s">
        <v>117</v>
      </c>
      <c r="I132" s="5">
        <v>300</v>
      </c>
      <c r="S132" t="s">
        <v>1073</v>
      </c>
    </row>
    <row r="133" spans="1:19" x14ac:dyDescent="0.25">
      <c r="A133" s="116">
        <v>434001</v>
      </c>
      <c r="C133" s="5">
        <v>14</v>
      </c>
      <c r="D133" t="s">
        <v>1074</v>
      </c>
      <c r="E133" t="s">
        <v>36</v>
      </c>
      <c r="F133" s="5" t="s">
        <v>26</v>
      </c>
      <c r="G133" s="5">
        <v>1</v>
      </c>
      <c r="H133" s="5" t="s">
        <v>117</v>
      </c>
      <c r="I133" s="5">
        <v>300</v>
      </c>
      <c r="S133" t="s">
        <v>1075</v>
      </c>
    </row>
    <row r="134" spans="1:19" x14ac:dyDescent="0.25">
      <c r="A134" s="57">
        <v>434001</v>
      </c>
      <c r="B134" s="59"/>
      <c r="C134" s="57">
        <v>15</v>
      </c>
      <c r="D134" s="113" t="s">
        <v>1221</v>
      </c>
      <c r="E134" s="59"/>
      <c r="F134" s="57" t="s">
        <v>21</v>
      </c>
      <c r="G134" s="57">
        <v>1</v>
      </c>
      <c r="H134" s="57" t="s">
        <v>22</v>
      </c>
      <c r="I134" s="57">
        <v>300</v>
      </c>
      <c r="J134" s="59"/>
      <c r="K134" s="59"/>
      <c r="L134" s="59"/>
      <c r="M134" s="59"/>
      <c r="N134" s="59"/>
      <c r="O134" s="59"/>
      <c r="P134" s="59"/>
      <c r="Q134" s="59"/>
      <c r="R134" s="59"/>
      <c r="S134" s="118" t="s">
        <v>1115</v>
      </c>
    </row>
    <row r="135" spans="1:19" x14ac:dyDescent="0.25">
      <c r="A135" s="5">
        <v>434001</v>
      </c>
      <c r="C135" s="5">
        <v>15</v>
      </c>
      <c r="D135" t="s">
        <v>1222</v>
      </c>
      <c r="E135" t="s">
        <v>29</v>
      </c>
      <c r="F135" s="5" t="s">
        <v>26</v>
      </c>
      <c r="G135" s="5">
        <v>1</v>
      </c>
      <c r="H135" s="5" t="s">
        <v>117</v>
      </c>
      <c r="I135" s="5">
        <v>300</v>
      </c>
      <c r="S135" s="114" t="s">
        <v>1034</v>
      </c>
    </row>
    <row r="136" spans="1:19" x14ac:dyDescent="0.25">
      <c r="A136" s="5">
        <v>434001</v>
      </c>
      <c r="C136" s="5">
        <v>15</v>
      </c>
      <c r="D136" t="s">
        <v>1223</v>
      </c>
      <c r="E136" t="s">
        <v>25</v>
      </c>
      <c r="F136" s="5" t="s">
        <v>26</v>
      </c>
      <c r="G136" s="5">
        <v>1</v>
      </c>
      <c r="H136" s="5" t="s">
        <v>117</v>
      </c>
      <c r="I136" s="5">
        <v>300</v>
      </c>
      <c r="S136" s="119" t="s">
        <v>1082</v>
      </c>
    </row>
    <row r="137" spans="1:19" x14ac:dyDescent="0.25">
      <c r="A137" s="5">
        <v>434001</v>
      </c>
      <c r="C137" s="5">
        <v>15</v>
      </c>
      <c r="D137" t="s">
        <v>1224</v>
      </c>
      <c r="E137" t="s">
        <v>27</v>
      </c>
      <c r="F137" s="5" t="s">
        <v>26</v>
      </c>
      <c r="G137" s="5">
        <v>1</v>
      </c>
      <c r="H137" s="5" t="s">
        <v>117</v>
      </c>
      <c r="I137" s="5">
        <v>300</v>
      </c>
      <c r="S137" s="119" t="s">
        <v>1083</v>
      </c>
    </row>
    <row r="138" spans="1:19" x14ac:dyDescent="0.25">
      <c r="A138" s="5">
        <v>434001</v>
      </c>
      <c r="C138" s="5">
        <v>15</v>
      </c>
      <c r="D138" t="s">
        <v>1225</v>
      </c>
      <c r="E138" t="s">
        <v>35</v>
      </c>
      <c r="F138" s="5" t="s">
        <v>26</v>
      </c>
      <c r="G138" s="5">
        <v>1</v>
      </c>
      <c r="H138" s="5" t="s">
        <v>117</v>
      </c>
      <c r="I138" s="5">
        <v>300</v>
      </c>
      <c r="S138" s="119" t="s">
        <v>1084</v>
      </c>
    </row>
    <row r="139" spans="1:19" x14ac:dyDescent="0.25">
      <c r="A139" s="5">
        <v>434001</v>
      </c>
      <c r="C139" s="5">
        <v>15</v>
      </c>
      <c r="D139" t="s">
        <v>1226</v>
      </c>
      <c r="E139" t="s">
        <v>31</v>
      </c>
      <c r="F139" s="5" t="s">
        <v>26</v>
      </c>
      <c r="G139" s="5">
        <v>1</v>
      </c>
      <c r="H139" s="5" t="s">
        <v>117</v>
      </c>
      <c r="I139" s="5">
        <v>300</v>
      </c>
      <c r="S139" s="119" t="s">
        <v>1086</v>
      </c>
    </row>
    <row r="140" spans="1:19" x14ac:dyDescent="0.25">
      <c r="A140" s="5">
        <v>434001</v>
      </c>
      <c r="C140" s="5">
        <v>15</v>
      </c>
      <c r="D140" t="s">
        <v>1227</v>
      </c>
      <c r="E140" t="s">
        <v>33</v>
      </c>
      <c r="F140" s="5" t="s">
        <v>26</v>
      </c>
      <c r="G140" s="5">
        <v>1</v>
      </c>
      <c r="H140" s="5" t="s">
        <v>117</v>
      </c>
      <c r="I140" s="5">
        <v>300</v>
      </c>
      <c r="S140" s="119" t="s">
        <v>1085</v>
      </c>
    </row>
    <row r="141" spans="1:19" x14ac:dyDescent="0.25">
      <c r="A141" s="5">
        <v>434001</v>
      </c>
      <c r="C141" s="5">
        <v>15</v>
      </c>
      <c r="D141" t="s">
        <v>1228</v>
      </c>
      <c r="E141" t="s">
        <v>36</v>
      </c>
      <c r="F141" s="5" t="s">
        <v>26</v>
      </c>
      <c r="G141" s="5">
        <v>1</v>
      </c>
      <c r="H141" s="5" t="s">
        <v>117</v>
      </c>
      <c r="I141" s="5">
        <v>300</v>
      </c>
      <c r="S141" s="119" t="s">
        <v>1046</v>
      </c>
    </row>
    <row r="142" spans="1:19" x14ac:dyDescent="0.25">
      <c r="A142" s="5">
        <v>434001</v>
      </c>
      <c r="C142" s="5">
        <v>15</v>
      </c>
      <c r="D142" t="s">
        <v>1229</v>
      </c>
      <c r="E142" t="s">
        <v>49</v>
      </c>
      <c r="F142" s="5" t="s">
        <v>26</v>
      </c>
      <c r="G142" s="5">
        <v>1</v>
      </c>
      <c r="H142" s="5" t="s">
        <v>117</v>
      </c>
      <c r="I142" s="5">
        <v>300</v>
      </c>
      <c r="S142" s="119" t="s">
        <v>1046</v>
      </c>
    </row>
    <row r="143" spans="1:19" x14ac:dyDescent="0.25">
      <c r="A143" s="5">
        <v>434001</v>
      </c>
      <c r="C143" s="5">
        <v>15</v>
      </c>
      <c r="D143" t="s">
        <v>1230</v>
      </c>
      <c r="E143" t="s">
        <v>57</v>
      </c>
      <c r="F143" s="5" t="s">
        <v>26</v>
      </c>
      <c r="G143" s="5">
        <v>1</v>
      </c>
      <c r="H143" s="5" t="s">
        <v>117</v>
      </c>
      <c r="I143" s="5">
        <v>300</v>
      </c>
      <c r="S143" s="119" t="s">
        <v>1046</v>
      </c>
    </row>
    <row r="144" spans="1:19" x14ac:dyDescent="0.25">
      <c r="A144" s="5">
        <v>434001</v>
      </c>
      <c r="C144" s="5">
        <v>15</v>
      </c>
      <c r="D144" t="s">
        <v>1231</v>
      </c>
      <c r="E144" t="s">
        <v>65</v>
      </c>
      <c r="F144" s="5" t="s">
        <v>26</v>
      </c>
      <c r="G144" s="5">
        <v>1</v>
      </c>
      <c r="H144" s="5" t="s">
        <v>117</v>
      </c>
      <c r="I144" s="5">
        <v>300</v>
      </c>
      <c r="S144" s="119" t="s">
        <v>1046</v>
      </c>
    </row>
    <row r="145" spans="1:19" x14ac:dyDescent="0.25">
      <c r="A145" s="5">
        <v>434001</v>
      </c>
      <c r="C145" s="5">
        <v>15</v>
      </c>
      <c r="D145" t="s">
        <v>1232</v>
      </c>
      <c r="E145" t="s">
        <v>54</v>
      </c>
      <c r="F145" s="5" t="s">
        <v>26</v>
      </c>
      <c r="G145" s="5">
        <v>1</v>
      </c>
      <c r="H145" s="5" t="s">
        <v>117</v>
      </c>
      <c r="I145" s="5">
        <v>300</v>
      </c>
      <c r="S145" s="119" t="s">
        <v>1046</v>
      </c>
    </row>
    <row r="146" spans="1:19" x14ac:dyDescent="0.25">
      <c r="A146" s="5">
        <v>434001</v>
      </c>
      <c r="C146" s="5">
        <v>15</v>
      </c>
      <c r="D146" t="s">
        <v>1233</v>
      </c>
      <c r="E146" t="s">
        <v>38</v>
      </c>
      <c r="F146" s="5" t="s">
        <v>26</v>
      </c>
      <c r="G146" s="5">
        <v>1</v>
      </c>
      <c r="H146" s="5" t="s">
        <v>117</v>
      </c>
      <c r="I146" s="5">
        <v>300</v>
      </c>
      <c r="S146" s="119" t="s">
        <v>1046</v>
      </c>
    </row>
    <row r="147" spans="1:19" x14ac:dyDescent="0.25">
      <c r="A147" s="5">
        <v>434001</v>
      </c>
      <c r="C147" s="5">
        <v>15</v>
      </c>
      <c r="D147" t="s">
        <v>1234</v>
      </c>
      <c r="E147" t="s">
        <v>77</v>
      </c>
      <c r="F147" s="5" t="s">
        <v>26</v>
      </c>
      <c r="G147" s="5">
        <v>1</v>
      </c>
      <c r="H147" s="5" t="s">
        <v>117</v>
      </c>
      <c r="I147" s="5">
        <v>300</v>
      </c>
      <c r="S147" s="119" t="s">
        <v>1046</v>
      </c>
    </row>
    <row r="148" spans="1:19" x14ac:dyDescent="0.25">
      <c r="A148" s="5">
        <v>434001</v>
      </c>
      <c r="C148" s="5">
        <v>15</v>
      </c>
      <c r="D148" t="s">
        <v>1235</v>
      </c>
      <c r="E148" t="s">
        <v>80</v>
      </c>
      <c r="F148" s="5" t="s">
        <v>26</v>
      </c>
      <c r="G148" s="5">
        <v>1</v>
      </c>
      <c r="H148" s="5" t="s">
        <v>117</v>
      </c>
      <c r="I148" s="5">
        <v>300</v>
      </c>
      <c r="S148" s="119" t="s">
        <v>1046</v>
      </c>
    </row>
    <row r="149" spans="1:19" x14ac:dyDescent="0.25">
      <c r="A149" s="5">
        <v>434001</v>
      </c>
      <c r="C149" s="5">
        <v>15</v>
      </c>
      <c r="D149" t="s">
        <v>1236</v>
      </c>
      <c r="E149" t="s">
        <v>72</v>
      </c>
      <c r="F149" s="5" t="s">
        <v>26</v>
      </c>
      <c r="G149" s="5">
        <v>1</v>
      </c>
      <c r="H149" s="5" t="s">
        <v>117</v>
      </c>
      <c r="I149" s="5">
        <v>300</v>
      </c>
      <c r="S149" s="119" t="s">
        <v>1046</v>
      </c>
    </row>
    <row r="150" spans="1:19" x14ac:dyDescent="0.25">
      <c r="A150" s="5">
        <v>434001</v>
      </c>
      <c r="C150" s="5">
        <v>15</v>
      </c>
      <c r="D150" t="s">
        <v>1237</v>
      </c>
      <c r="E150" t="s">
        <v>52</v>
      </c>
      <c r="F150" s="5" t="s">
        <v>26</v>
      </c>
      <c r="G150" s="5">
        <v>1</v>
      </c>
      <c r="H150" s="5" t="s">
        <v>117</v>
      </c>
      <c r="I150" s="5">
        <v>300</v>
      </c>
      <c r="S150" s="119" t="s">
        <v>1238</v>
      </c>
    </row>
    <row r="151" spans="1:19" x14ac:dyDescent="0.25">
      <c r="A151" s="115">
        <v>434001</v>
      </c>
      <c r="B151" s="59"/>
      <c r="C151" s="57">
        <v>16</v>
      </c>
      <c r="D151" s="59" t="s">
        <v>1076</v>
      </c>
      <c r="E151" s="59"/>
      <c r="F151" s="57" t="s">
        <v>21</v>
      </c>
      <c r="G151" s="57">
        <v>1</v>
      </c>
      <c r="H151" s="57" t="s">
        <v>117</v>
      </c>
      <c r="I151" s="57">
        <v>300</v>
      </c>
      <c r="J151" s="59"/>
      <c r="K151" s="59"/>
      <c r="L151" s="59"/>
      <c r="M151" s="59"/>
      <c r="N151" s="59"/>
      <c r="O151" s="59"/>
      <c r="P151" s="59"/>
      <c r="Q151" s="59"/>
      <c r="R151" s="59"/>
      <c r="S151" s="59" t="s">
        <v>1046</v>
      </c>
    </row>
    <row r="152" spans="1:19" x14ac:dyDescent="0.25">
      <c r="A152" s="115">
        <v>434001</v>
      </c>
      <c r="B152" s="59"/>
      <c r="C152" s="57">
        <v>17</v>
      </c>
      <c r="D152" s="59" t="s">
        <v>1076</v>
      </c>
      <c r="E152" s="59"/>
      <c r="F152" s="57" t="s">
        <v>21</v>
      </c>
      <c r="G152" s="57">
        <v>1</v>
      </c>
      <c r="H152" s="57" t="s">
        <v>117</v>
      </c>
      <c r="I152" s="57">
        <v>300</v>
      </c>
      <c r="J152" s="59"/>
      <c r="K152" s="59"/>
      <c r="L152" s="59"/>
      <c r="M152" s="59"/>
      <c r="N152" s="59"/>
      <c r="O152" s="59"/>
      <c r="P152" s="59"/>
      <c r="Q152" s="59"/>
      <c r="R152" s="59"/>
      <c r="S152" s="59" t="s">
        <v>1046</v>
      </c>
    </row>
  </sheetData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/>
  <dimension ref="A1:T102"/>
  <sheetViews>
    <sheetView topLeftCell="A64" zoomScale="85" zoomScaleNormal="85" workbookViewId="0">
      <selection activeCell="Q73" sqref="Q73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646</v>
      </c>
      <c r="E3" s="4" t="s">
        <v>29</v>
      </c>
      <c r="F3" s="5" t="s">
        <v>26</v>
      </c>
      <c r="G3">
        <v>1</v>
      </c>
      <c r="H3" t="s">
        <v>117</v>
      </c>
      <c r="I3">
        <v>300</v>
      </c>
      <c r="S3" s="6" t="s">
        <v>648</v>
      </c>
      <c r="T3" s="5"/>
    </row>
    <row r="4" spans="1:20" x14ac:dyDescent="0.25">
      <c r="A4" s="4">
        <v>434001</v>
      </c>
      <c r="C4" s="4">
        <v>0</v>
      </c>
      <c r="D4" t="s">
        <v>647</v>
      </c>
      <c r="E4" s="4" t="s">
        <v>25</v>
      </c>
      <c r="F4" s="5" t="s">
        <v>26</v>
      </c>
      <c r="G4">
        <v>1</v>
      </c>
      <c r="H4" t="s">
        <v>117</v>
      </c>
      <c r="I4">
        <v>300</v>
      </c>
      <c r="S4" s="6" t="s">
        <v>649</v>
      </c>
      <c r="T4" s="5"/>
    </row>
    <row r="5" spans="1:20" x14ac:dyDescent="0.25">
      <c r="A5" s="4">
        <v>434001</v>
      </c>
      <c r="C5" s="4">
        <v>0</v>
      </c>
      <c r="D5" t="s">
        <v>973</v>
      </c>
      <c r="E5" s="4" t="s">
        <v>27</v>
      </c>
      <c r="F5" s="5" t="s">
        <v>26</v>
      </c>
      <c r="G5">
        <v>1</v>
      </c>
      <c r="H5" t="s">
        <v>117</v>
      </c>
      <c r="I5">
        <v>300</v>
      </c>
      <c r="S5" t="s">
        <v>972</v>
      </c>
      <c r="T5" s="5"/>
    </row>
    <row r="6" spans="1:20" x14ac:dyDescent="0.25">
      <c r="A6" s="4">
        <v>434001</v>
      </c>
      <c r="C6" s="4">
        <v>0</v>
      </c>
      <c r="D6" t="s">
        <v>477</v>
      </c>
      <c r="E6" s="4" t="s">
        <v>35</v>
      </c>
      <c r="F6" s="5" t="s">
        <v>26</v>
      </c>
      <c r="G6">
        <v>1</v>
      </c>
      <c r="H6" t="s">
        <v>117</v>
      </c>
      <c r="I6">
        <v>300</v>
      </c>
      <c r="S6" t="s">
        <v>971</v>
      </c>
      <c r="T6" s="5"/>
    </row>
    <row r="7" spans="1:20" x14ac:dyDescent="0.25">
      <c r="A7" s="4">
        <v>434001</v>
      </c>
      <c r="C7" s="4">
        <v>0</v>
      </c>
      <c r="D7" t="s">
        <v>970</v>
      </c>
      <c r="E7" s="107" t="s">
        <v>31</v>
      </c>
      <c r="F7" s="5" t="s">
        <v>26</v>
      </c>
      <c r="G7">
        <v>1</v>
      </c>
      <c r="H7" t="s">
        <v>117</v>
      </c>
      <c r="I7">
        <v>300</v>
      </c>
      <c r="S7" t="s">
        <v>969</v>
      </c>
      <c r="T7" s="5"/>
    </row>
    <row r="8" spans="1:20" x14ac:dyDescent="0.25">
      <c r="A8" s="4">
        <v>434001</v>
      </c>
      <c r="C8" s="4">
        <v>0</v>
      </c>
      <c r="D8" t="s">
        <v>968</v>
      </c>
      <c r="E8" s="107" t="s">
        <v>33</v>
      </c>
      <c r="F8" s="5" t="s">
        <v>26</v>
      </c>
      <c r="G8">
        <v>1</v>
      </c>
      <c r="H8" t="s">
        <v>117</v>
      </c>
      <c r="I8">
        <v>300</v>
      </c>
      <c r="S8" s="6" t="s">
        <v>967</v>
      </c>
      <c r="T8" s="5"/>
    </row>
    <row r="9" spans="1:20" x14ac:dyDescent="0.25">
      <c r="A9" s="4">
        <v>434001</v>
      </c>
      <c r="C9" s="4">
        <v>0</v>
      </c>
      <c r="D9" t="s">
        <v>966</v>
      </c>
      <c r="E9" s="107" t="s">
        <v>36</v>
      </c>
      <c r="F9" s="5" t="s">
        <v>26</v>
      </c>
      <c r="G9">
        <v>1</v>
      </c>
      <c r="H9" t="s">
        <v>117</v>
      </c>
      <c r="I9">
        <v>300</v>
      </c>
      <c r="S9" s="6" t="s">
        <v>965</v>
      </c>
      <c r="T9" s="5"/>
    </row>
    <row r="10" spans="1:20" x14ac:dyDescent="0.25">
      <c r="A10" s="4">
        <v>434001</v>
      </c>
      <c r="C10" s="4">
        <v>0</v>
      </c>
      <c r="D10" t="s">
        <v>964</v>
      </c>
      <c r="E10" s="107" t="s">
        <v>49</v>
      </c>
      <c r="F10" s="5" t="s">
        <v>26</v>
      </c>
      <c r="G10">
        <v>1</v>
      </c>
      <c r="H10" t="s">
        <v>117</v>
      </c>
      <c r="I10">
        <v>300</v>
      </c>
      <c r="S10" s="6" t="s">
        <v>963</v>
      </c>
      <c r="T10" s="5"/>
    </row>
    <row r="11" spans="1:20" x14ac:dyDescent="0.25">
      <c r="A11" s="4">
        <v>434001</v>
      </c>
      <c r="C11" s="4">
        <v>0</v>
      </c>
      <c r="D11" t="s">
        <v>962</v>
      </c>
      <c r="E11" s="107" t="s">
        <v>57</v>
      </c>
      <c r="F11" s="5" t="s">
        <v>26</v>
      </c>
      <c r="G11">
        <v>1</v>
      </c>
      <c r="H11" t="s">
        <v>117</v>
      </c>
      <c r="I11">
        <v>300</v>
      </c>
      <c r="S11" t="s">
        <v>961</v>
      </c>
      <c r="T11" s="5"/>
    </row>
    <row r="12" spans="1:20" x14ac:dyDescent="0.25">
      <c r="A12" s="4">
        <v>434001</v>
      </c>
      <c r="C12" s="4">
        <v>0</v>
      </c>
      <c r="D12" t="s">
        <v>960</v>
      </c>
      <c r="E12" s="107" t="s">
        <v>65</v>
      </c>
      <c r="F12" s="5" t="s">
        <v>26</v>
      </c>
      <c r="G12">
        <v>1</v>
      </c>
      <c r="H12" t="s">
        <v>117</v>
      </c>
      <c r="I12">
        <v>300</v>
      </c>
      <c r="S12" t="s">
        <v>950</v>
      </c>
      <c r="T12" s="5"/>
    </row>
    <row r="13" spans="1:20" x14ac:dyDescent="0.25">
      <c r="A13" s="4">
        <v>434001</v>
      </c>
      <c r="C13" s="4">
        <v>0</v>
      </c>
      <c r="D13" t="s">
        <v>959</v>
      </c>
      <c r="E13" s="107" t="s">
        <v>54</v>
      </c>
      <c r="F13" s="5" t="s">
        <v>26</v>
      </c>
      <c r="G13">
        <v>1</v>
      </c>
      <c r="H13" t="s">
        <v>117</v>
      </c>
      <c r="I13">
        <v>300</v>
      </c>
      <c r="S13" t="s">
        <v>948</v>
      </c>
      <c r="T13" s="5"/>
    </row>
    <row r="14" spans="1:20" x14ac:dyDescent="0.25">
      <c r="A14" s="4">
        <v>434001</v>
      </c>
      <c r="C14" s="4">
        <v>0</v>
      </c>
      <c r="D14" t="s">
        <v>958</v>
      </c>
      <c r="E14" s="107" t="s">
        <v>38</v>
      </c>
      <c r="F14" s="5" t="s">
        <v>26</v>
      </c>
      <c r="G14">
        <v>1</v>
      </c>
      <c r="H14" t="s">
        <v>117</v>
      </c>
      <c r="I14">
        <v>300</v>
      </c>
      <c r="S14" t="s">
        <v>596</v>
      </c>
      <c r="T14" s="5"/>
    </row>
    <row r="15" spans="1:20" x14ac:dyDescent="0.25">
      <c r="A15" s="4">
        <v>434001</v>
      </c>
      <c r="C15" s="4">
        <v>0</v>
      </c>
      <c r="D15" t="s">
        <v>957</v>
      </c>
      <c r="E15" s="107" t="s">
        <v>77</v>
      </c>
      <c r="F15" s="5" t="s">
        <v>26</v>
      </c>
      <c r="G15">
        <v>1</v>
      </c>
      <c r="H15" t="s">
        <v>117</v>
      </c>
      <c r="I15">
        <v>300</v>
      </c>
      <c r="S15" t="s">
        <v>945</v>
      </c>
      <c r="T15" s="5"/>
    </row>
    <row r="16" spans="1:20" x14ac:dyDescent="0.25">
      <c r="A16" s="4">
        <v>434001</v>
      </c>
      <c r="C16" s="4">
        <v>0</v>
      </c>
      <c r="D16" t="s">
        <v>956</v>
      </c>
      <c r="E16" s="107" t="s">
        <v>80</v>
      </c>
      <c r="F16" s="5" t="s">
        <v>26</v>
      </c>
      <c r="G16">
        <v>1</v>
      </c>
      <c r="H16" t="s">
        <v>117</v>
      </c>
      <c r="I16">
        <v>300</v>
      </c>
      <c r="S16" t="s">
        <v>629</v>
      </c>
      <c r="T16" s="5"/>
    </row>
    <row r="17" spans="1:20" x14ac:dyDescent="0.25">
      <c r="A17" s="4">
        <v>434001</v>
      </c>
      <c r="C17" s="4">
        <v>0</v>
      </c>
      <c r="D17" t="s">
        <v>955</v>
      </c>
      <c r="E17" s="107" t="s">
        <v>72</v>
      </c>
      <c r="F17" s="5" t="s">
        <v>26</v>
      </c>
      <c r="G17">
        <v>1</v>
      </c>
      <c r="H17" t="s">
        <v>117</v>
      </c>
      <c r="I17">
        <v>300</v>
      </c>
      <c r="S17" t="s">
        <v>597</v>
      </c>
      <c r="T17" s="5"/>
    </row>
    <row r="18" spans="1:20" x14ac:dyDescent="0.25">
      <c r="A18" s="4">
        <v>434001</v>
      </c>
      <c r="C18" s="4">
        <v>0</v>
      </c>
      <c r="D18" t="s">
        <v>954</v>
      </c>
      <c r="E18" s="107" t="s">
        <v>52</v>
      </c>
      <c r="F18" s="5" t="s">
        <v>26</v>
      </c>
      <c r="G18">
        <v>1</v>
      </c>
      <c r="H18" t="s">
        <v>117</v>
      </c>
      <c r="I18">
        <v>300</v>
      </c>
      <c r="S18" t="s">
        <v>953</v>
      </c>
      <c r="T18" s="5"/>
    </row>
    <row r="19" spans="1:20" x14ac:dyDescent="0.25">
      <c r="A19" s="4">
        <v>434001</v>
      </c>
      <c r="C19" s="4">
        <v>1</v>
      </c>
      <c r="D19" t="s">
        <v>952</v>
      </c>
      <c r="E19" s="107" t="s">
        <v>29</v>
      </c>
      <c r="F19" s="5" t="s">
        <v>26</v>
      </c>
      <c r="G19">
        <v>1</v>
      </c>
      <c r="H19" t="s">
        <v>117</v>
      </c>
      <c r="I19">
        <v>300</v>
      </c>
      <c r="S19" t="s">
        <v>626</v>
      </c>
      <c r="T19" s="5"/>
    </row>
    <row r="20" spans="1:20" x14ac:dyDescent="0.25">
      <c r="A20" s="4">
        <v>434001</v>
      </c>
      <c r="C20" s="4">
        <v>1</v>
      </c>
      <c r="D20" t="s">
        <v>951</v>
      </c>
      <c r="E20" s="107" t="s">
        <v>25</v>
      </c>
      <c r="F20" s="5" t="s">
        <v>26</v>
      </c>
      <c r="G20">
        <v>1</v>
      </c>
      <c r="H20" t="s">
        <v>117</v>
      </c>
      <c r="I20">
        <v>300</v>
      </c>
      <c r="S20" t="s">
        <v>950</v>
      </c>
      <c r="T20" s="5"/>
    </row>
    <row r="21" spans="1:20" x14ac:dyDescent="0.25">
      <c r="A21" s="4">
        <v>434001</v>
      </c>
      <c r="C21" s="4">
        <v>1</v>
      </c>
      <c r="D21" t="s">
        <v>949</v>
      </c>
      <c r="E21" s="107" t="s">
        <v>27</v>
      </c>
      <c r="F21" s="5" t="s">
        <v>26</v>
      </c>
      <c r="G21">
        <v>1</v>
      </c>
      <c r="H21" t="s">
        <v>117</v>
      </c>
      <c r="I21">
        <v>300</v>
      </c>
      <c r="S21" t="s">
        <v>948</v>
      </c>
      <c r="T21" s="5"/>
    </row>
    <row r="22" spans="1:20" x14ac:dyDescent="0.25">
      <c r="A22" s="4">
        <v>434001</v>
      </c>
      <c r="C22" s="4">
        <v>1</v>
      </c>
      <c r="D22" t="s">
        <v>947</v>
      </c>
      <c r="E22" s="107" t="s">
        <v>35</v>
      </c>
      <c r="F22" s="5" t="s">
        <v>26</v>
      </c>
      <c r="G22">
        <v>1</v>
      </c>
      <c r="H22" t="s">
        <v>117</v>
      </c>
      <c r="I22">
        <v>300</v>
      </c>
      <c r="S22" t="s">
        <v>596</v>
      </c>
      <c r="T22" s="5"/>
    </row>
    <row r="23" spans="1:20" x14ac:dyDescent="0.25">
      <c r="A23" s="4">
        <v>434001</v>
      </c>
      <c r="C23" s="4">
        <v>1</v>
      </c>
      <c r="D23" t="s">
        <v>946</v>
      </c>
      <c r="E23" s="107" t="s">
        <v>31</v>
      </c>
      <c r="F23" s="5" t="s">
        <v>26</v>
      </c>
      <c r="G23">
        <v>1</v>
      </c>
      <c r="H23" t="s">
        <v>117</v>
      </c>
      <c r="I23">
        <v>300</v>
      </c>
      <c r="S23" t="s">
        <v>945</v>
      </c>
      <c r="T23" s="5"/>
    </row>
    <row r="24" spans="1:20" x14ac:dyDescent="0.25">
      <c r="A24" s="4">
        <v>434001</v>
      </c>
      <c r="C24" s="4">
        <v>1</v>
      </c>
      <c r="D24" t="s">
        <v>944</v>
      </c>
      <c r="E24" s="107" t="s">
        <v>33</v>
      </c>
      <c r="F24" s="5" t="s">
        <v>26</v>
      </c>
      <c r="G24">
        <v>1</v>
      </c>
      <c r="H24" t="s">
        <v>117</v>
      </c>
      <c r="I24">
        <v>300</v>
      </c>
      <c r="S24" t="s">
        <v>629</v>
      </c>
      <c r="T24" s="5"/>
    </row>
    <row r="25" spans="1:20" x14ac:dyDescent="0.25">
      <c r="A25" s="4">
        <v>434001</v>
      </c>
      <c r="C25" s="4">
        <v>1</v>
      </c>
      <c r="D25" t="s">
        <v>943</v>
      </c>
      <c r="E25" s="107" t="s">
        <v>36</v>
      </c>
      <c r="F25" s="5" t="s">
        <v>26</v>
      </c>
      <c r="G25">
        <v>1</v>
      </c>
      <c r="H25" t="s">
        <v>117</v>
      </c>
      <c r="I25">
        <v>300</v>
      </c>
      <c r="S25" t="s">
        <v>597</v>
      </c>
      <c r="T25" s="5"/>
    </row>
    <row r="26" spans="1:20" x14ac:dyDescent="0.25">
      <c r="A26" s="4">
        <v>434001</v>
      </c>
      <c r="C26" s="4">
        <v>1</v>
      </c>
      <c r="D26" t="s">
        <v>942</v>
      </c>
      <c r="E26" s="107" t="s">
        <v>57</v>
      </c>
      <c r="F26" s="5" t="s">
        <v>26</v>
      </c>
      <c r="G26">
        <v>1</v>
      </c>
      <c r="H26" t="s">
        <v>117</v>
      </c>
      <c r="I26">
        <v>300</v>
      </c>
      <c r="S26" t="s">
        <v>941</v>
      </c>
      <c r="T26" s="5"/>
    </row>
    <row r="27" spans="1:20" x14ac:dyDescent="0.25">
      <c r="A27" s="4">
        <v>434001</v>
      </c>
      <c r="C27" s="4">
        <v>1</v>
      </c>
      <c r="D27" t="s">
        <v>940</v>
      </c>
      <c r="E27" s="107" t="s">
        <v>65</v>
      </c>
      <c r="F27" s="5" t="s">
        <v>26</v>
      </c>
      <c r="G27">
        <v>1</v>
      </c>
      <c r="H27" t="s">
        <v>117</v>
      </c>
      <c r="I27">
        <v>300</v>
      </c>
      <c r="S27" t="s">
        <v>939</v>
      </c>
      <c r="T27" s="5"/>
    </row>
    <row r="28" spans="1:20" x14ac:dyDescent="0.25">
      <c r="A28" s="4">
        <v>434001</v>
      </c>
      <c r="C28" s="4">
        <v>1</v>
      </c>
      <c r="D28" t="s">
        <v>938</v>
      </c>
      <c r="E28" s="107" t="s">
        <v>54</v>
      </c>
      <c r="F28" s="5" t="s">
        <v>26</v>
      </c>
      <c r="G28">
        <v>1</v>
      </c>
      <c r="H28" t="s">
        <v>117</v>
      </c>
      <c r="I28">
        <v>300</v>
      </c>
      <c r="S28" t="s">
        <v>937</v>
      </c>
      <c r="T28" s="5"/>
    </row>
    <row r="29" spans="1:20" x14ac:dyDescent="0.25">
      <c r="A29" s="4">
        <v>434001</v>
      </c>
      <c r="C29" s="4">
        <v>1</v>
      </c>
      <c r="D29" t="s">
        <v>936</v>
      </c>
      <c r="E29" s="107" t="s">
        <v>77</v>
      </c>
      <c r="F29" s="5" t="s">
        <v>26</v>
      </c>
      <c r="G29">
        <v>1</v>
      </c>
      <c r="H29" t="s">
        <v>117</v>
      </c>
      <c r="I29">
        <v>300</v>
      </c>
      <c r="S29" t="s">
        <v>935</v>
      </c>
      <c r="T29" s="5"/>
    </row>
    <row r="30" spans="1:20" x14ac:dyDescent="0.25">
      <c r="A30" s="4">
        <v>434001</v>
      </c>
      <c r="C30" s="4">
        <v>1</v>
      </c>
      <c r="D30" t="s">
        <v>934</v>
      </c>
      <c r="E30" s="107" t="s">
        <v>80</v>
      </c>
      <c r="F30" s="5" t="s">
        <v>26</v>
      </c>
      <c r="G30">
        <v>1</v>
      </c>
      <c r="H30" t="s">
        <v>117</v>
      </c>
      <c r="I30">
        <v>300</v>
      </c>
      <c r="S30" t="s">
        <v>933</v>
      </c>
      <c r="T30" s="5"/>
    </row>
    <row r="31" spans="1:20" x14ac:dyDescent="0.25">
      <c r="A31" s="4">
        <v>434001</v>
      </c>
      <c r="C31" s="4">
        <v>2</v>
      </c>
      <c r="D31" t="s">
        <v>932</v>
      </c>
      <c r="E31" s="107" t="s">
        <v>29</v>
      </c>
      <c r="F31" s="5" t="s">
        <v>26</v>
      </c>
      <c r="G31">
        <v>1</v>
      </c>
      <c r="H31" t="s">
        <v>117</v>
      </c>
      <c r="I31">
        <v>300</v>
      </c>
      <c r="S31" t="s">
        <v>197</v>
      </c>
      <c r="T31" s="5"/>
    </row>
    <row r="32" spans="1:20" x14ac:dyDescent="0.25">
      <c r="A32" s="4">
        <v>434001</v>
      </c>
      <c r="C32" s="4">
        <v>2</v>
      </c>
      <c r="D32" t="s">
        <v>931</v>
      </c>
      <c r="E32" s="107" t="s">
        <v>25</v>
      </c>
      <c r="F32" s="5" t="s">
        <v>26</v>
      </c>
      <c r="G32">
        <v>1</v>
      </c>
      <c r="H32" t="s">
        <v>117</v>
      </c>
      <c r="I32">
        <v>300</v>
      </c>
      <c r="S32" t="s">
        <v>197</v>
      </c>
      <c r="T32" s="5"/>
    </row>
    <row r="33" spans="1:20" x14ac:dyDescent="0.25">
      <c r="A33" s="4">
        <v>434001</v>
      </c>
      <c r="C33" s="4">
        <v>2</v>
      </c>
      <c r="D33" t="s">
        <v>930</v>
      </c>
      <c r="E33" s="107" t="s">
        <v>27</v>
      </c>
      <c r="F33" s="5" t="s">
        <v>26</v>
      </c>
      <c r="G33">
        <v>1</v>
      </c>
      <c r="H33" t="s">
        <v>117</v>
      </c>
      <c r="I33">
        <v>300</v>
      </c>
      <c r="S33" t="s">
        <v>197</v>
      </c>
      <c r="T33" s="5"/>
    </row>
    <row r="34" spans="1:20" x14ac:dyDescent="0.25">
      <c r="A34" s="4">
        <v>434001</v>
      </c>
      <c r="C34" s="4">
        <v>2</v>
      </c>
      <c r="D34" t="s">
        <v>929</v>
      </c>
      <c r="E34" s="107" t="s">
        <v>35</v>
      </c>
      <c r="F34" s="5" t="s">
        <v>26</v>
      </c>
      <c r="G34">
        <v>1</v>
      </c>
      <c r="H34" t="s">
        <v>117</v>
      </c>
      <c r="I34">
        <v>300</v>
      </c>
      <c r="S34" t="s">
        <v>197</v>
      </c>
      <c r="T34" s="5"/>
    </row>
    <row r="35" spans="1:20" x14ac:dyDescent="0.25">
      <c r="A35" s="4">
        <v>434001</v>
      </c>
      <c r="C35" s="4">
        <v>2</v>
      </c>
      <c r="D35" t="s">
        <v>928</v>
      </c>
      <c r="E35" s="107" t="s">
        <v>31</v>
      </c>
      <c r="F35" s="5" t="s">
        <v>26</v>
      </c>
      <c r="G35">
        <v>1</v>
      </c>
      <c r="H35" t="s">
        <v>117</v>
      </c>
      <c r="I35">
        <v>300</v>
      </c>
      <c r="S35" t="s">
        <v>197</v>
      </c>
      <c r="T35" s="5"/>
    </row>
    <row r="36" spans="1:20" x14ac:dyDescent="0.25">
      <c r="A36" s="4">
        <v>434001</v>
      </c>
      <c r="C36" s="4">
        <v>2</v>
      </c>
      <c r="D36" t="s">
        <v>927</v>
      </c>
      <c r="E36" s="107" t="s">
        <v>33</v>
      </c>
      <c r="F36" s="5" t="s">
        <v>26</v>
      </c>
      <c r="G36">
        <v>1</v>
      </c>
      <c r="H36" t="s">
        <v>117</v>
      </c>
      <c r="I36">
        <v>300</v>
      </c>
      <c r="S36" t="s">
        <v>197</v>
      </c>
      <c r="T36" s="5"/>
    </row>
    <row r="37" spans="1:20" x14ac:dyDescent="0.25">
      <c r="A37" s="4">
        <v>434001</v>
      </c>
      <c r="C37" s="4">
        <v>2</v>
      </c>
      <c r="D37" t="s">
        <v>926</v>
      </c>
      <c r="E37" s="107" t="s">
        <v>36</v>
      </c>
      <c r="F37" s="5" t="s">
        <v>26</v>
      </c>
      <c r="G37">
        <v>1</v>
      </c>
      <c r="H37" t="s">
        <v>117</v>
      </c>
      <c r="I37">
        <v>300</v>
      </c>
      <c r="S37" t="s">
        <v>197</v>
      </c>
      <c r="T37" s="5"/>
    </row>
    <row r="38" spans="1:20" x14ac:dyDescent="0.25">
      <c r="A38" s="4">
        <v>434001</v>
      </c>
      <c r="C38" s="4">
        <v>2</v>
      </c>
      <c r="D38" t="s">
        <v>925</v>
      </c>
      <c r="E38" s="107" t="s">
        <v>49</v>
      </c>
      <c r="F38" s="5" t="s">
        <v>26</v>
      </c>
      <c r="G38">
        <v>1</v>
      </c>
      <c r="H38" t="s">
        <v>117</v>
      </c>
      <c r="I38">
        <v>300</v>
      </c>
      <c r="S38" t="s">
        <v>197</v>
      </c>
      <c r="T38" s="5"/>
    </row>
    <row r="39" spans="1:20" x14ac:dyDescent="0.25">
      <c r="A39" s="4">
        <v>434001</v>
      </c>
      <c r="C39" s="4">
        <v>2</v>
      </c>
      <c r="D39" t="s">
        <v>924</v>
      </c>
      <c r="E39" s="107" t="s">
        <v>57</v>
      </c>
      <c r="F39" s="5" t="s">
        <v>26</v>
      </c>
      <c r="G39">
        <v>1</v>
      </c>
      <c r="H39" t="s">
        <v>117</v>
      </c>
      <c r="I39">
        <v>300</v>
      </c>
      <c r="S39" t="s">
        <v>197</v>
      </c>
      <c r="T39" s="5"/>
    </row>
    <row r="40" spans="1:20" x14ac:dyDescent="0.25">
      <c r="A40" s="4">
        <v>434001</v>
      </c>
      <c r="C40" s="4">
        <v>2</v>
      </c>
      <c r="D40" t="s">
        <v>923</v>
      </c>
      <c r="E40" s="107" t="s">
        <v>65</v>
      </c>
      <c r="F40" s="5" t="s">
        <v>26</v>
      </c>
      <c r="G40">
        <v>1</v>
      </c>
      <c r="H40" t="s">
        <v>117</v>
      </c>
      <c r="I40">
        <v>300</v>
      </c>
      <c r="S40" t="s">
        <v>197</v>
      </c>
      <c r="T40" s="5"/>
    </row>
    <row r="41" spans="1:20" x14ac:dyDescent="0.25">
      <c r="A41" s="4">
        <v>434001</v>
      </c>
      <c r="C41" s="4">
        <v>2</v>
      </c>
      <c r="D41" t="s">
        <v>922</v>
      </c>
      <c r="E41" s="107" t="s">
        <v>54</v>
      </c>
      <c r="F41" s="5" t="s">
        <v>26</v>
      </c>
      <c r="G41">
        <v>1</v>
      </c>
      <c r="H41" t="s">
        <v>117</v>
      </c>
      <c r="I41">
        <v>300</v>
      </c>
      <c r="S41" t="s">
        <v>197</v>
      </c>
      <c r="T41" s="5"/>
    </row>
    <row r="42" spans="1:20" x14ac:dyDescent="0.25">
      <c r="A42" s="4">
        <v>434001</v>
      </c>
      <c r="C42" s="4">
        <v>2</v>
      </c>
      <c r="D42" t="s">
        <v>921</v>
      </c>
      <c r="E42" s="107" t="s">
        <v>38</v>
      </c>
      <c r="F42" s="5" t="s">
        <v>26</v>
      </c>
      <c r="G42">
        <v>1</v>
      </c>
      <c r="H42" t="s">
        <v>117</v>
      </c>
      <c r="I42">
        <v>300</v>
      </c>
      <c r="S42" t="s">
        <v>197</v>
      </c>
      <c r="T42" s="5"/>
    </row>
    <row r="43" spans="1:20" x14ac:dyDescent="0.25">
      <c r="A43" s="4">
        <v>434001</v>
      </c>
      <c r="C43" s="4">
        <v>3</v>
      </c>
      <c r="D43" t="s">
        <v>920</v>
      </c>
      <c r="E43" s="107" t="s">
        <v>29</v>
      </c>
      <c r="F43" s="5" t="s">
        <v>26</v>
      </c>
      <c r="G43">
        <v>1</v>
      </c>
      <c r="H43" t="s">
        <v>117</v>
      </c>
      <c r="I43">
        <v>300</v>
      </c>
      <c r="S43" t="s">
        <v>908</v>
      </c>
      <c r="T43" s="5"/>
    </row>
    <row r="44" spans="1:20" x14ac:dyDescent="0.25">
      <c r="A44" s="4">
        <v>434001</v>
      </c>
      <c r="C44" s="4">
        <v>3</v>
      </c>
      <c r="D44" t="s">
        <v>919</v>
      </c>
      <c r="E44" s="107" t="s">
        <v>25</v>
      </c>
      <c r="F44" s="5" t="s">
        <v>26</v>
      </c>
      <c r="G44">
        <v>1</v>
      </c>
      <c r="H44" t="s">
        <v>117</v>
      </c>
      <c r="I44">
        <v>300</v>
      </c>
      <c r="S44" t="s">
        <v>908</v>
      </c>
      <c r="T44" s="5"/>
    </row>
    <row r="45" spans="1:20" x14ac:dyDescent="0.25">
      <c r="A45" s="4">
        <v>434001</v>
      </c>
      <c r="C45" s="4">
        <v>3</v>
      </c>
      <c r="D45" t="s">
        <v>918</v>
      </c>
      <c r="E45" s="107" t="s">
        <v>27</v>
      </c>
      <c r="F45" s="5" t="s">
        <v>26</v>
      </c>
      <c r="G45">
        <v>1</v>
      </c>
      <c r="H45" t="s">
        <v>117</v>
      </c>
      <c r="I45">
        <v>300</v>
      </c>
      <c r="S45" t="s">
        <v>908</v>
      </c>
      <c r="T45" s="5"/>
    </row>
    <row r="46" spans="1:20" x14ac:dyDescent="0.25">
      <c r="A46" s="4">
        <v>434001</v>
      </c>
      <c r="C46" s="4">
        <v>3</v>
      </c>
      <c r="D46" t="s">
        <v>917</v>
      </c>
      <c r="E46" s="107" t="s">
        <v>35</v>
      </c>
      <c r="F46" s="5" t="s">
        <v>26</v>
      </c>
      <c r="G46">
        <v>1</v>
      </c>
      <c r="H46" t="s">
        <v>117</v>
      </c>
      <c r="I46">
        <v>300</v>
      </c>
      <c r="S46" t="s">
        <v>908</v>
      </c>
      <c r="T46" s="5"/>
    </row>
    <row r="47" spans="1:20" x14ac:dyDescent="0.25">
      <c r="A47" s="4">
        <v>434001</v>
      </c>
      <c r="C47" s="4">
        <v>3</v>
      </c>
      <c r="D47" t="s">
        <v>916</v>
      </c>
      <c r="E47" s="107" t="s">
        <v>31</v>
      </c>
      <c r="F47" s="5" t="s">
        <v>26</v>
      </c>
      <c r="G47">
        <v>1</v>
      </c>
      <c r="H47" t="s">
        <v>117</v>
      </c>
      <c r="I47">
        <v>300</v>
      </c>
      <c r="S47" t="s">
        <v>908</v>
      </c>
      <c r="T47" s="5"/>
    </row>
    <row r="48" spans="1:20" x14ac:dyDescent="0.25">
      <c r="A48" s="4">
        <v>434001</v>
      </c>
      <c r="C48" s="4">
        <v>3</v>
      </c>
      <c r="D48" t="s">
        <v>915</v>
      </c>
      <c r="E48" s="107" t="s">
        <v>33</v>
      </c>
      <c r="F48" s="5" t="s">
        <v>26</v>
      </c>
      <c r="G48">
        <v>1</v>
      </c>
      <c r="H48" t="s">
        <v>117</v>
      </c>
      <c r="I48">
        <v>300</v>
      </c>
      <c r="S48" t="s">
        <v>908</v>
      </c>
      <c r="T48" s="5"/>
    </row>
    <row r="49" spans="1:20" x14ac:dyDescent="0.25">
      <c r="A49" s="4">
        <v>434001</v>
      </c>
      <c r="C49" s="4">
        <v>3</v>
      </c>
      <c r="D49" t="s">
        <v>914</v>
      </c>
      <c r="E49" s="107" t="s">
        <v>36</v>
      </c>
      <c r="F49" s="5" t="s">
        <v>26</v>
      </c>
      <c r="G49">
        <v>1</v>
      </c>
      <c r="H49" t="s">
        <v>117</v>
      </c>
      <c r="I49">
        <v>300</v>
      </c>
      <c r="S49" t="s">
        <v>908</v>
      </c>
      <c r="T49" s="5"/>
    </row>
    <row r="50" spans="1:20" x14ac:dyDescent="0.25">
      <c r="A50" s="4">
        <v>434001</v>
      </c>
      <c r="C50" s="4">
        <v>3</v>
      </c>
      <c r="D50" t="s">
        <v>913</v>
      </c>
      <c r="E50" s="107" t="s">
        <v>49</v>
      </c>
      <c r="F50" s="5" t="s">
        <v>26</v>
      </c>
      <c r="G50">
        <v>1</v>
      </c>
      <c r="H50" t="s">
        <v>117</v>
      </c>
      <c r="I50">
        <v>300</v>
      </c>
      <c r="S50" t="s">
        <v>908</v>
      </c>
      <c r="T50" s="5"/>
    </row>
    <row r="51" spans="1:20" x14ac:dyDescent="0.25">
      <c r="A51" s="4">
        <v>434001</v>
      </c>
      <c r="C51" s="4">
        <v>3</v>
      </c>
      <c r="D51" t="s">
        <v>912</v>
      </c>
      <c r="E51" s="107" t="s">
        <v>57</v>
      </c>
      <c r="F51" s="5" t="s">
        <v>26</v>
      </c>
      <c r="G51">
        <v>1</v>
      </c>
      <c r="H51" t="s">
        <v>117</v>
      </c>
      <c r="I51">
        <v>300</v>
      </c>
      <c r="S51" t="s">
        <v>908</v>
      </c>
      <c r="T51" s="5"/>
    </row>
    <row r="52" spans="1:20" x14ac:dyDescent="0.25">
      <c r="A52" s="4">
        <v>434001</v>
      </c>
      <c r="C52" s="4">
        <v>3</v>
      </c>
      <c r="D52" t="s">
        <v>911</v>
      </c>
      <c r="E52" s="107" t="s">
        <v>65</v>
      </c>
      <c r="F52" s="5" t="s">
        <v>26</v>
      </c>
      <c r="G52">
        <v>1</v>
      </c>
      <c r="H52" t="s">
        <v>117</v>
      </c>
      <c r="I52">
        <v>300</v>
      </c>
      <c r="S52" t="s">
        <v>908</v>
      </c>
      <c r="T52" s="5"/>
    </row>
    <row r="53" spans="1:20" x14ac:dyDescent="0.25">
      <c r="A53" s="4">
        <v>434001</v>
      </c>
      <c r="C53" s="4">
        <v>3</v>
      </c>
      <c r="D53" t="s">
        <v>910</v>
      </c>
      <c r="E53" s="107" t="s">
        <v>54</v>
      </c>
      <c r="F53" s="5" t="s">
        <v>26</v>
      </c>
      <c r="G53">
        <v>1</v>
      </c>
      <c r="H53" t="s">
        <v>117</v>
      </c>
      <c r="I53">
        <v>300</v>
      </c>
      <c r="S53" t="s">
        <v>908</v>
      </c>
      <c r="T53" s="5"/>
    </row>
    <row r="54" spans="1:20" x14ac:dyDescent="0.25">
      <c r="A54" s="4">
        <v>434001</v>
      </c>
      <c r="C54" s="4">
        <v>3</v>
      </c>
      <c r="D54" t="s">
        <v>909</v>
      </c>
      <c r="E54" s="107" t="s">
        <v>38</v>
      </c>
      <c r="F54" s="5" t="s">
        <v>26</v>
      </c>
      <c r="G54">
        <v>1</v>
      </c>
      <c r="H54" t="s">
        <v>117</v>
      </c>
      <c r="I54">
        <v>300</v>
      </c>
      <c r="S54" t="s">
        <v>908</v>
      </c>
      <c r="T54" s="5"/>
    </row>
    <row r="55" spans="1:20" x14ac:dyDescent="0.25">
      <c r="A55" s="4">
        <v>434001</v>
      </c>
      <c r="C55" s="4">
        <v>4</v>
      </c>
      <c r="D55" t="s">
        <v>907</v>
      </c>
      <c r="F55" s="5" t="s">
        <v>21</v>
      </c>
      <c r="G55">
        <v>1</v>
      </c>
      <c r="H55" t="s">
        <v>117</v>
      </c>
      <c r="I55">
        <v>99999990</v>
      </c>
      <c r="S55" t="s">
        <v>709</v>
      </c>
      <c r="T55" s="5"/>
    </row>
    <row r="56" spans="1:20" x14ac:dyDescent="0.25">
      <c r="A56" s="4">
        <v>434001</v>
      </c>
      <c r="C56" s="4">
        <v>4</v>
      </c>
      <c r="D56" t="s">
        <v>906</v>
      </c>
      <c r="F56" s="5" t="s">
        <v>21</v>
      </c>
      <c r="G56">
        <v>1</v>
      </c>
      <c r="H56" t="s">
        <v>117</v>
      </c>
      <c r="I56">
        <v>99999990</v>
      </c>
      <c r="S56" s="6" t="s">
        <v>905</v>
      </c>
      <c r="T56" s="5"/>
    </row>
    <row r="57" spans="1:20" x14ac:dyDescent="0.25">
      <c r="A57" s="4">
        <v>434001</v>
      </c>
      <c r="C57" s="4">
        <v>4</v>
      </c>
      <c r="D57" t="s">
        <v>904</v>
      </c>
      <c r="F57" s="5" t="s">
        <v>21</v>
      </c>
      <c r="G57">
        <v>1</v>
      </c>
      <c r="H57" t="s">
        <v>117</v>
      </c>
      <c r="I57">
        <v>99999990</v>
      </c>
    </row>
    <row r="58" spans="1:20" x14ac:dyDescent="0.25">
      <c r="A58" s="4">
        <v>434001</v>
      </c>
      <c r="C58" s="4">
        <v>4</v>
      </c>
      <c r="D58" t="s">
        <v>903</v>
      </c>
      <c r="F58" s="5" t="s">
        <v>201</v>
      </c>
      <c r="G58">
        <v>1</v>
      </c>
      <c r="H58" t="s">
        <v>117</v>
      </c>
      <c r="I58">
        <v>300</v>
      </c>
      <c r="S58" t="s">
        <v>202</v>
      </c>
    </row>
    <row r="59" spans="1:20" x14ac:dyDescent="0.25">
      <c r="A59" s="4">
        <v>434001</v>
      </c>
      <c r="C59" s="4">
        <v>6</v>
      </c>
      <c r="D59" t="s">
        <v>902</v>
      </c>
      <c r="F59" s="5" t="s">
        <v>21</v>
      </c>
      <c r="G59">
        <v>1</v>
      </c>
      <c r="H59" t="s">
        <v>117</v>
      </c>
      <c r="I59">
        <v>99999990</v>
      </c>
      <c r="S59" t="s">
        <v>709</v>
      </c>
      <c r="T59" s="5"/>
    </row>
    <row r="60" spans="1:20" x14ac:dyDescent="0.25">
      <c r="A60" s="4">
        <v>434001</v>
      </c>
      <c r="C60" s="4">
        <v>6</v>
      </c>
      <c r="D60" t="s">
        <v>901</v>
      </c>
      <c r="F60" s="5" t="s">
        <v>21</v>
      </c>
      <c r="G60">
        <v>1</v>
      </c>
      <c r="H60" t="s">
        <v>117</v>
      </c>
      <c r="I60">
        <v>99999990</v>
      </c>
      <c r="S60" s="6" t="s">
        <v>900</v>
      </c>
      <c r="T60" s="5"/>
    </row>
    <row r="61" spans="1:20" x14ac:dyDescent="0.25">
      <c r="A61" s="4">
        <v>434001</v>
      </c>
      <c r="C61" s="4">
        <v>6</v>
      </c>
      <c r="D61" t="s">
        <v>899</v>
      </c>
      <c r="F61" s="5" t="s">
        <v>21</v>
      </c>
      <c r="G61">
        <v>1</v>
      </c>
      <c r="H61" t="s">
        <v>117</v>
      </c>
      <c r="I61">
        <v>99999990</v>
      </c>
    </row>
    <row r="62" spans="1:20" x14ac:dyDescent="0.25">
      <c r="A62" s="4">
        <v>434001</v>
      </c>
      <c r="C62" s="4">
        <v>6</v>
      </c>
      <c r="D62" t="s">
        <v>898</v>
      </c>
      <c r="F62" s="5" t="s">
        <v>201</v>
      </c>
      <c r="G62">
        <v>1</v>
      </c>
      <c r="H62" t="s">
        <v>117</v>
      </c>
      <c r="I62">
        <v>300</v>
      </c>
      <c r="S62" t="s">
        <v>202</v>
      </c>
    </row>
    <row r="63" spans="1:20" x14ac:dyDescent="0.25">
      <c r="A63" s="4">
        <v>434001</v>
      </c>
      <c r="C63" s="4">
        <v>8</v>
      </c>
      <c r="D63" t="s">
        <v>897</v>
      </c>
      <c r="F63" s="5" t="s">
        <v>21</v>
      </c>
      <c r="G63">
        <v>1</v>
      </c>
      <c r="H63" t="s">
        <v>117</v>
      </c>
      <c r="I63">
        <v>99999990</v>
      </c>
      <c r="S63" t="s">
        <v>709</v>
      </c>
      <c r="T63" s="5"/>
    </row>
    <row r="64" spans="1:20" x14ac:dyDescent="0.25">
      <c r="A64" s="4">
        <v>434001</v>
      </c>
      <c r="C64" s="4">
        <v>8</v>
      </c>
      <c r="D64" t="s">
        <v>896</v>
      </c>
      <c r="F64" s="5" t="s">
        <v>21</v>
      </c>
      <c r="G64">
        <v>1</v>
      </c>
      <c r="H64" t="s">
        <v>117</v>
      </c>
      <c r="I64">
        <v>99999990</v>
      </c>
      <c r="S64" s="6" t="s">
        <v>895</v>
      </c>
      <c r="T64" s="5"/>
    </row>
    <row r="65" spans="1:20" x14ac:dyDescent="0.25">
      <c r="A65" s="4">
        <v>434001</v>
      </c>
      <c r="C65" s="4">
        <v>8</v>
      </c>
      <c r="D65" t="s">
        <v>894</v>
      </c>
      <c r="F65" s="5" t="s">
        <v>21</v>
      </c>
      <c r="G65">
        <v>1</v>
      </c>
      <c r="H65" t="s">
        <v>117</v>
      </c>
      <c r="I65">
        <v>99999990</v>
      </c>
    </row>
    <row r="66" spans="1:20" x14ac:dyDescent="0.25">
      <c r="A66" s="4">
        <v>434001</v>
      </c>
      <c r="C66" s="4">
        <v>8</v>
      </c>
      <c r="D66" t="s">
        <v>893</v>
      </c>
      <c r="F66" s="5" t="s">
        <v>201</v>
      </c>
      <c r="G66">
        <v>1</v>
      </c>
      <c r="H66" t="s">
        <v>117</v>
      </c>
      <c r="I66">
        <v>300</v>
      </c>
      <c r="S66" t="s">
        <v>202</v>
      </c>
    </row>
    <row r="67" spans="1:20" x14ac:dyDescent="0.25">
      <c r="A67" s="4">
        <v>434001</v>
      </c>
      <c r="C67" s="4">
        <v>10</v>
      </c>
      <c r="D67" t="s">
        <v>892</v>
      </c>
      <c r="F67" s="5" t="s">
        <v>21</v>
      </c>
      <c r="G67">
        <v>1</v>
      </c>
      <c r="H67" t="s">
        <v>117</v>
      </c>
      <c r="I67">
        <v>99999990</v>
      </c>
      <c r="S67" t="s">
        <v>709</v>
      </c>
      <c r="T67" s="5"/>
    </row>
    <row r="68" spans="1:20" x14ac:dyDescent="0.25">
      <c r="A68" s="4">
        <v>434001</v>
      </c>
      <c r="C68" s="4">
        <v>10</v>
      </c>
      <c r="D68" t="s">
        <v>891</v>
      </c>
      <c r="F68" s="5" t="s">
        <v>21</v>
      </c>
      <c r="G68">
        <v>1</v>
      </c>
      <c r="H68" t="s">
        <v>117</v>
      </c>
      <c r="I68">
        <v>99999990</v>
      </c>
      <c r="S68" s="6" t="s">
        <v>890</v>
      </c>
      <c r="T68" s="5"/>
    </row>
    <row r="69" spans="1:20" x14ac:dyDescent="0.25">
      <c r="A69" s="4">
        <v>434001</v>
      </c>
      <c r="C69" s="4">
        <v>10</v>
      </c>
      <c r="D69" t="s">
        <v>889</v>
      </c>
      <c r="F69" s="5" t="s">
        <v>21</v>
      </c>
      <c r="G69">
        <v>1</v>
      </c>
      <c r="H69" t="s">
        <v>117</v>
      </c>
      <c r="I69">
        <v>99999990</v>
      </c>
    </row>
    <row r="70" spans="1:20" x14ac:dyDescent="0.25">
      <c r="A70" s="4">
        <v>434001</v>
      </c>
      <c r="C70" s="4">
        <v>10</v>
      </c>
      <c r="D70" t="s">
        <v>888</v>
      </c>
      <c r="F70" s="5" t="s">
        <v>201</v>
      </c>
      <c r="G70">
        <v>1</v>
      </c>
      <c r="H70" t="s">
        <v>117</v>
      </c>
      <c r="I70">
        <v>300</v>
      </c>
      <c r="S70" t="s">
        <v>202</v>
      </c>
    </row>
    <row r="71" spans="1:20" x14ac:dyDescent="0.25">
      <c r="A71" s="4">
        <v>434001</v>
      </c>
      <c r="C71" s="4">
        <v>12</v>
      </c>
      <c r="D71" t="s">
        <v>887</v>
      </c>
      <c r="F71" s="5" t="s">
        <v>21</v>
      </c>
      <c r="G71">
        <v>1</v>
      </c>
      <c r="H71" t="s">
        <v>117</v>
      </c>
      <c r="I71">
        <v>99999990</v>
      </c>
      <c r="S71" t="s">
        <v>709</v>
      </c>
      <c r="T71" s="5"/>
    </row>
    <row r="72" spans="1:20" x14ac:dyDescent="0.25">
      <c r="A72" s="4">
        <v>434001</v>
      </c>
      <c r="C72" s="4">
        <v>12</v>
      </c>
      <c r="D72" t="s">
        <v>886</v>
      </c>
      <c r="F72" s="5" t="s">
        <v>21</v>
      </c>
      <c r="G72">
        <v>1</v>
      </c>
      <c r="H72" t="s">
        <v>117</v>
      </c>
      <c r="I72">
        <v>99999990</v>
      </c>
      <c r="S72" s="6" t="s">
        <v>885</v>
      </c>
      <c r="T72" s="5"/>
    </row>
    <row r="73" spans="1:20" x14ac:dyDescent="0.25">
      <c r="A73" s="4">
        <v>434001</v>
      </c>
      <c r="C73" s="4">
        <v>12</v>
      </c>
      <c r="D73" t="s">
        <v>884</v>
      </c>
      <c r="F73" s="5" t="s">
        <v>21</v>
      </c>
      <c r="G73">
        <v>1</v>
      </c>
      <c r="H73" t="s">
        <v>117</v>
      </c>
      <c r="I73">
        <v>99999990</v>
      </c>
    </row>
    <row r="74" spans="1:20" x14ac:dyDescent="0.25">
      <c r="A74" s="4">
        <v>434001</v>
      </c>
      <c r="C74" s="4">
        <v>12</v>
      </c>
      <c r="D74" t="s">
        <v>883</v>
      </c>
      <c r="F74" s="5" t="s">
        <v>201</v>
      </c>
      <c r="G74">
        <v>1</v>
      </c>
      <c r="H74" t="s">
        <v>117</v>
      </c>
      <c r="I74">
        <v>300</v>
      </c>
      <c r="S74" t="s">
        <v>202</v>
      </c>
    </row>
    <row r="75" spans="1:20" x14ac:dyDescent="0.25">
      <c r="A75" s="4">
        <v>434001</v>
      </c>
      <c r="C75" s="4">
        <v>14</v>
      </c>
      <c r="D75" t="s">
        <v>882</v>
      </c>
      <c r="F75" s="5" t="s">
        <v>21</v>
      </c>
      <c r="G75">
        <v>1</v>
      </c>
      <c r="H75" t="s">
        <v>117</v>
      </c>
      <c r="I75">
        <v>99999990</v>
      </c>
      <c r="S75" t="s">
        <v>709</v>
      </c>
      <c r="T75" s="5"/>
    </row>
    <row r="76" spans="1:20" x14ac:dyDescent="0.25">
      <c r="A76" s="4">
        <v>434001</v>
      </c>
      <c r="C76" s="4">
        <v>14</v>
      </c>
      <c r="D76" t="s">
        <v>881</v>
      </c>
      <c r="F76" s="5" t="s">
        <v>21</v>
      </c>
      <c r="G76">
        <v>1</v>
      </c>
      <c r="H76" t="s">
        <v>117</v>
      </c>
      <c r="I76">
        <v>99999990</v>
      </c>
      <c r="S76" s="6" t="s">
        <v>880</v>
      </c>
      <c r="T76" s="5"/>
    </row>
    <row r="77" spans="1:20" x14ac:dyDescent="0.25">
      <c r="A77" s="4">
        <v>434001</v>
      </c>
      <c r="C77" s="4">
        <v>14</v>
      </c>
      <c r="D77" t="s">
        <v>879</v>
      </c>
      <c r="F77" s="5" t="s">
        <v>21</v>
      </c>
      <c r="G77">
        <v>1</v>
      </c>
      <c r="H77" t="s">
        <v>117</v>
      </c>
      <c r="I77">
        <v>99999990</v>
      </c>
    </row>
    <row r="78" spans="1:20" x14ac:dyDescent="0.25">
      <c r="A78" s="4">
        <v>434001</v>
      </c>
      <c r="C78" s="4">
        <v>14</v>
      </c>
      <c r="D78" t="s">
        <v>878</v>
      </c>
      <c r="F78" s="5" t="s">
        <v>201</v>
      </c>
      <c r="G78">
        <v>1</v>
      </c>
      <c r="H78" t="s">
        <v>117</v>
      </c>
      <c r="I78">
        <v>300</v>
      </c>
      <c r="S78" t="s">
        <v>202</v>
      </c>
    </row>
    <row r="79" spans="1:20" x14ac:dyDescent="0.25">
      <c r="A79" s="4">
        <v>434001</v>
      </c>
      <c r="C79" s="4">
        <v>16</v>
      </c>
      <c r="D79" t="s">
        <v>877</v>
      </c>
      <c r="F79" s="5" t="s">
        <v>21</v>
      </c>
      <c r="G79">
        <v>1</v>
      </c>
      <c r="H79" t="s">
        <v>117</v>
      </c>
      <c r="I79">
        <v>99999990</v>
      </c>
      <c r="S79" t="s">
        <v>709</v>
      </c>
      <c r="T79" s="5"/>
    </row>
    <row r="80" spans="1:20" x14ac:dyDescent="0.25">
      <c r="A80" s="4">
        <v>434001</v>
      </c>
      <c r="C80" s="4">
        <v>16</v>
      </c>
      <c r="D80" t="s">
        <v>876</v>
      </c>
      <c r="F80" s="5" t="s">
        <v>21</v>
      </c>
      <c r="G80">
        <v>1</v>
      </c>
      <c r="H80" t="s">
        <v>117</v>
      </c>
      <c r="I80">
        <v>99999990</v>
      </c>
      <c r="S80" s="6" t="s">
        <v>875</v>
      </c>
      <c r="T80" s="5"/>
    </row>
    <row r="81" spans="1:20" x14ac:dyDescent="0.25">
      <c r="A81" s="4">
        <v>434001</v>
      </c>
      <c r="C81" s="4">
        <v>16</v>
      </c>
      <c r="D81" t="s">
        <v>874</v>
      </c>
      <c r="F81" s="5" t="s">
        <v>21</v>
      </c>
      <c r="G81">
        <v>1</v>
      </c>
      <c r="H81" t="s">
        <v>117</v>
      </c>
      <c r="I81">
        <v>99999990</v>
      </c>
    </row>
    <row r="82" spans="1:20" x14ac:dyDescent="0.25">
      <c r="A82" s="4">
        <v>434001</v>
      </c>
      <c r="C82" s="4">
        <v>16</v>
      </c>
      <c r="D82" t="s">
        <v>873</v>
      </c>
      <c r="F82" s="5" t="s">
        <v>201</v>
      </c>
      <c r="G82">
        <v>1</v>
      </c>
      <c r="H82" t="s">
        <v>117</v>
      </c>
      <c r="I82">
        <v>300</v>
      </c>
      <c r="S82" t="s">
        <v>202</v>
      </c>
    </row>
    <row r="83" spans="1:20" x14ac:dyDescent="0.25">
      <c r="A83" s="4">
        <v>434001</v>
      </c>
      <c r="C83" s="4">
        <v>18</v>
      </c>
      <c r="D83" t="s">
        <v>872</v>
      </c>
      <c r="F83" s="5" t="s">
        <v>21</v>
      </c>
      <c r="G83">
        <v>1</v>
      </c>
      <c r="H83" t="s">
        <v>117</v>
      </c>
      <c r="I83">
        <v>99999990</v>
      </c>
      <c r="S83" t="s">
        <v>709</v>
      </c>
      <c r="T83" s="5"/>
    </row>
    <row r="84" spans="1:20" x14ac:dyDescent="0.25">
      <c r="A84" s="4">
        <v>434001</v>
      </c>
      <c r="C84" s="4">
        <v>18</v>
      </c>
      <c r="D84" t="s">
        <v>871</v>
      </c>
      <c r="F84" s="5" t="s">
        <v>21</v>
      </c>
      <c r="G84">
        <v>1</v>
      </c>
      <c r="H84" t="s">
        <v>117</v>
      </c>
      <c r="I84">
        <v>99999990</v>
      </c>
      <c r="S84" s="6" t="s">
        <v>870</v>
      </c>
      <c r="T84" s="5"/>
    </row>
    <row r="85" spans="1:20" x14ac:dyDescent="0.25">
      <c r="A85" s="4">
        <v>434001</v>
      </c>
      <c r="C85" s="4">
        <v>18</v>
      </c>
      <c r="D85" t="s">
        <v>869</v>
      </c>
      <c r="F85" s="5" t="s">
        <v>21</v>
      </c>
      <c r="G85">
        <v>1</v>
      </c>
      <c r="H85" t="s">
        <v>117</v>
      </c>
      <c r="I85">
        <v>99999990</v>
      </c>
    </row>
    <row r="86" spans="1:20" x14ac:dyDescent="0.25">
      <c r="A86" s="4">
        <v>434001</v>
      </c>
      <c r="C86" s="4">
        <v>18</v>
      </c>
      <c r="D86" t="s">
        <v>868</v>
      </c>
      <c r="F86" s="5" t="s">
        <v>201</v>
      </c>
      <c r="G86">
        <v>1</v>
      </c>
      <c r="H86" t="s">
        <v>117</v>
      </c>
      <c r="I86">
        <v>300</v>
      </c>
      <c r="S86" t="s">
        <v>202</v>
      </c>
    </row>
    <row r="87" spans="1:20" x14ac:dyDescent="0.25">
      <c r="A87" s="4">
        <v>434001</v>
      </c>
      <c r="C87" s="4">
        <v>20</v>
      </c>
      <c r="D87" t="s">
        <v>867</v>
      </c>
      <c r="F87" s="5" t="s">
        <v>21</v>
      </c>
      <c r="G87">
        <v>1</v>
      </c>
      <c r="H87" t="s">
        <v>117</v>
      </c>
      <c r="I87">
        <v>99999990</v>
      </c>
      <c r="S87" t="s">
        <v>709</v>
      </c>
      <c r="T87" s="5"/>
    </row>
    <row r="88" spans="1:20" x14ac:dyDescent="0.25">
      <c r="A88" s="4">
        <v>434001</v>
      </c>
      <c r="C88" s="4">
        <v>20</v>
      </c>
      <c r="D88" t="s">
        <v>866</v>
      </c>
      <c r="F88" s="5" t="s">
        <v>21</v>
      </c>
      <c r="G88">
        <v>1</v>
      </c>
      <c r="H88" t="s">
        <v>117</v>
      </c>
      <c r="I88">
        <v>99999990</v>
      </c>
      <c r="S88" s="6" t="s">
        <v>865</v>
      </c>
      <c r="T88" s="5"/>
    </row>
    <row r="89" spans="1:20" x14ac:dyDescent="0.25">
      <c r="A89" s="4">
        <v>434001</v>
      </c>
      <c r="C89" s="4">
        <v>20</v>
      </c>
      <c r="D89" t="s">
        <v>864</v>
      </c>
      <c r="F89" s="5" t="s">
        <v>21</v>
      </c>
      <c r="G89">
        <v>1</v>
      </c>
      <c r="H89" t="s">
        <v>117</v>
      </c>
      <c r="I89">
        <v>99999990</v>
      </c>
    </row>
    <row r="90" spans="1:20" x14ac:dyDescent="0.25">
      <c r="A90" s="4">
        <v>434001</v>
      </c>
      <c r="C90" s="4">
        <v>20</v>
      </c>
      <c r="D90" t="s">
        <v>863</v>
      </c>
      <c r="F90" s="5" t="s">
        <v>201</v>
      </c>
      <c r="G90">
        <v>1</v>
      </c>
      <c r="H90" t="s">
        <v>117</v>
      </c>
      <c r="I90">
        <v>300</v>
      </c>
      <c r="S90" t="s">
        <v>202</v>
      </c>
    </row>
    <row r="91" spans="1:20" x14ac:dyDescent="0.25">
      <c r="A91" s="4">
        <v>434001</v>
      </c>
      <c r="C91" s="4">
        <v>22</v>
      </c>
      <c r="D91" t="s">
        <v>862</v>
      </c>
      <c r="F91" s="5" t="s">
        <v>21</v>
      </c>
      <c r="G91">
        <v>1</v>
      </c>
      <c r="H91" t="s">
        <v>117</v>
      </c>
      <c r="I91">
        <v>99999990</v>
      </c>
      <c r="S91" t="s">
        <v>709</v>
      </c>
      <c r="T91" s="5"/>
    </row>
    <row r="92" spans="1:20" x14ac:dyDescent="0.25">
      <c r="A92" s="4">
        <v>434001</v>
      </c>
      <c r="C92" s="4">
        <v>22</v>
      </c>
      <c r="D92" t="s">
        <v>861</v>
      </c>
      <c r="F92" s="5" t="s">
        <v>21</v>
      </c>
      <c r="G92">
        <v>1</v>
      </c>
      <c r="H92" t="s">
        <v>117</v>
      </c>
      <c r="I92">
        <v>99999990</v>
      </c>
      <c r="S92" s="6" t="s">
        <v>860</v>
      </c>
      <c r="T92" s="5"/>
    </row>
    <row r="93" spans="1:20" x14ac:dyDescent="0.25">
      <c r="A93" s="4">
        <v>434001</v>
      </c>
      <c r="C93" s="4">
        <v>22</v>
      </c>
      <c r="D93" t="s">
        <v>859</v>
      </c>
      <c r="F93" s="5" t="s">
        <v>21</v>
      </c>
      <c r="G93">
        <v>1</v>
      </c>
      <c r="H93" t="s">
        <v>117</v>
      </c>
      <c r="I93">
        <v>99999990</v>
      </c>
    </row>
    <row r="94" spans="1:20" x14ac:dyDescent="0.25">
      <c r="A94" s="4">
        <v>434001</v>
      </c>
      <c r="C94" s="4">
        <v>22</v>
      </c>
      <c r="D94" t="s">
        <v>858</v>
      </c>
      <c r="F94" s="5" t="s">
        <v>201</v>
      </c>
      <c r="G94">
        <v>1</v>
      </c>
      <c r="H94" t="s">
        <v>117</v>
      </c>
      <c r="I94">
        <v>300</v>
      </c>
      <c r="S94" t="s">
        <v>202</v>
      </c>
    </row>
    <row r="95" spans="1:20" x14ac:dyDescent="0.25">
      <c r="A95" s="4">
        <v>434001</v>
      </c>
      <c r="C95" s="4">
        <v>24</v>
      </c>
      <c r="D95" t="s">
        <v>857</v>
      </c>
      <c r="F95" s="5" t="s">
        <v>21</v>
      </c>
      <c r="G95">
        <v>1</v>
      </c>
      <c r="H95" t="s">
        <v>117</v>
      </c>
      <c r="I95">
        <v>99999990</v>
      </c>
      <c r="S95" t="s">
        <v>709</v>
      </c>
      <c r="T95" s="5"/>
    </row>
    <row r="96" spans="1:20" x14ac:dyDescent="0.25">
      <c r="A96" s="4">
        <v>434001</v>
      </c>
      <c r="C96" s="4">
        <v>24</v>
      </c>
      <c r="D96" t="s">
        <v>856</v>
      </c>
      <c r="F96" s="5" t="s">
        <v>21</v>
      </c>
      <c r="G96">
        <v>1</v>
      </c>
      <c r="H96" t="s">
        <v>117</v>
      </c>
      <c r="I96">
        <v>99999990</v>
      </c>
      <c r="S96" s="6" t="s">
        <v>855</v>
      </c>
      <c r="T96" s="5"/>
    </row>
    <row r="97" spans="1:20" x14ac:dyDescent="0.25">
      <c r="A97" s="4">
        <v>434001</v>
      </c>
      <c r="C97" s="4">
        <v>24</v>
      </c>
      <c r="D97" t="s">
        <v>854</v>
      </c>
      <c r="F97" s="5" t="s">
        <v>21</v>
      </c>
      <c r="G97">
        <v>1</v>
      </c>
      <c r="H97" t="s">
        <v>117</v>
      </c>
      <c r="I97">
        <v>99999990</v>
      </c>
    </row>
    <row r="98" spans="1:20" x14ac:dyDescent="0.25">
      <c r="A98" s="4">
        <v>434001</v>
      </c>
      <c r="C98" s="4">
        <v>24</v>
      </c>
      <c r="D98" t="s">
        <v>853</v>
      </c>
      <c r="F98" s="5" t="s">
        <v>201</v>
      </c>
      <c r="G98">
        <v>1</v>
      </c>
      <c r="H98" t="s">
        <v>117</v>
      </c>
      <c r="I98">
        <v>300</v>
      </c>
      <c r="S98" t="s">
        <v>202</v>
      </c>
    </row>
    <row r="99" spans="1:20" x14ac:dyDescent="0.25">
      <c r="A99" s="4">
        <v>434001</v>
      </c>
      <c r="C99" s="4">
        <v>26</v>
      </c>
      <c r="D99" t="s">
        <v>852</v>
      </c>
      <c r="F99" s="5" t="s">
        <v>21</v>
      </c>
      <c r="G99">
        <v>1</v>
      </c>
      <c r="H99" t="s">
        <v>117</v>
      </c>
      <c r="I99">
        <v>99999990</v>
      </c>
      <c r="S99" t="s">
        <v>709</v>
      </c>
      <c r="T99" s="5"/>
    </row>
    <row r="100" spans="1:20" x14ac:dyDescent="0.25">
      <c r="A100" s="4">
        <v>434001</v>
      </c>
      <c r="C100" s="4">
        <v>26</v>
      </c>
      <c r="D100" t="s">
        <v>851</v>
      </c>
      <c r="F100" s="5" t="s">
        <v>21</v>
      </c>
      <c r="G100">
        <v>1</v>
      </c>
      <c r="H100" t="s">
        <v>117</v>
      </c>
      <c r="I100">
        <v>99999990</v>
      </c>
      <c r="S100" s="6" t="s">
        <v>850</v>
      </c>
      <c r="T100" s="5"/>
    </row>
    <row r="101" spans="1:20" x14ac:dyDescent="0.25">
      <c r="A101" s="4">
        <v>434001</v>
      </c>
      <c r="C101" s="4">
        <v>26</v>
      </c>
      <c r="D101" t="s">
        <v>849</v>
      </c>
      <c r="F101" s="5" t="s">
        <v>21</v>
      </c>
      <c r="G101">
        <v>1</v>
      </c>
      <c r="H101" t="s">
        <v>117</v>
      </c>
      <c r="I101">
        <v>99999990</v>
      </c>
    </row>
    <row r="102" spans="1:20" x14ac:dyDescent="0.25">
      <c r="A102" s="4">
        <v>434001</v>
      </c>
      <c r="C102" s="4">
        <v>26</v>
      </c>
      <c r="D102" t="s">
        <v>848</v>
      </c>
      <c r="F102" s="5" t="s">
        <v>201</v>
      </c>
      <c r="G102">
        <v>1</v>
      </c>
      <c r="H102" t="s">
        <v>117</v>
      </c>
      <c r="I102">
        <v>300</v>
      </c>
      <c r="S102" t="s">
        <v>202</v>
      </c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/>
  <dimension ref="A1:T35"/>
  <sheetViews>
    <sheetView zoomScale="85" zoomScaleNormal="85" workbookViewId="0">
      <selection activeCell="K15" sqref="K15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159</v>
      </c>
      <c r="F3" s="5" t="s">
        <v>21</v>
      </c>
      <c r="G3">
        <v>1</v>
      </c>
      <c r="H3" t="s">
        <v>117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650</v>
      </c>
      <c r="F4" s="5" t="s">
        <v>458</v>
      </c>
      <c r="G4">
        <v>1</v>
      </c>
      <c r="H4" t="s">
        <v>117</v>
      </c>
      <c r="I4">
        <v>50</v>
      </c>
      <c r="J4" t="s">
        <v>679</v>
      </c>
      <c r="K4">
        <v>0</v>
      </c>
      <c r="L4">
        <v>1000</v>
      </c>
      <c r="M4">
        <v>0</v>
      </c>
      <c r="N4">
        <v>100</v>
      </c>
      <c r="O4" t="s">
        <v>201</v>
      </c>
      <c r="R4" t="s">
        <v>677</v>
      </c>
      <c r="S4" t="s">
        <v>480</v>
      </c>
    </row>
    <row r="5" spans="1:20" x14ac:dyDescent="0.25">
      <c r="A5" s="4">
        <v>434001</v>
      </c>
      <c r="C5" s="4">
        <v>1</v>
      </c>
      <c r="D5" t="s">
        <v>651</v>
      </c>
      <c r="F5" s="5" t="s">
        <v>458</v>
      </c>
      <c r="G5">
        <v>1</v>
      </c>
      <c r="H5" t="s">
        <v>117</v>
      </c>
      <c r="I5">
        <v>50</v>
      </c>
      <c r="J5" t="s">
        <v>679</v>
      </c>
      <c r="K5">
        <v>0</v>
      </c>
      <c r="L5">
        <v>10000</v>
      </c>
      <c r="M5">
        <v>0</v>
      </c>
      <c r="N5">
        <v>100</v>
      </c>
      <c r="O5" t="s">
        <v>201</v>
      </c>
      <c r="R5" t="s">
        <v>677</v>
      </c>
      <c r="S5" t="s">
        <v>652</v>
      </c>
    </row>
    <row r="6" spans="1:20" x14ac:dyDescent="0.25">
      <c r="A6" s="4">
        <v>434001</v>
      </c>
      <c r="C6" s="4">
        <v>2</v>
      </c>
      <c r="D6" t="s">
        <v>551</v>
      </c>
      <c r="E6" s="107" t="s">
        <v>29</v>
      </c>
      <c r="F6" s="5" t="s">
        <v>26</v>
      </c>
      <c r="G6">
        <v>1</v>
      </c>
      <c r="H6" t="s">
        <v>117</v>
      </c>
      <c r="I6">
        <v>300</v>
      </c>
      <c r="S6" s="6" t="s">
        <v>481</v>
      </c>
      <c r="T6" s="5"/>
    </row>
    <row r="7" spans="1:20" x14ac:dyDescent="0.25">
      <c r="A7" s="4">
        <v>434001</v>
      </c>
      <c r="C7" s="4">
        <v>2</v>
      </c>
      <c r="D7" t="s">
        <v>653</v>
      </c>
      <c r="E7" s="107" t="s">
        <v>25</v>
      </c>
      <c r="F7" s="5" t="s">
        <v>26</v>
      </c>
      <c r="G7">
        <v>1</v>
      </c>
      <c r="H7" t="s">
        <v>117</v>
      </c>
      <c r="I7">
        <v>300</v>
      </c>
      <c r="S7" s="6" t="s">
        <v>482</v>
      </c>
      <c r="T7" s="5"/>
    </row>
    <row r="8" spans="1:20" x14ac:dyDescent="0.25">
      <c r="A8" s="4">
        <v>434001</v>
      </c>
      <c r="C8" s="4">
        <v>2</v>
      </c>
      <c r="D8" t="s">
        <v>654</v>
      </c>
      <c r="E8" s="107" t="s">
        <v>27</v>
      </c>
      <c r="F8" s="5" t="s">
        <v>26</v>
      </c>
      <c r="G8">
        <v>1</v>
      </c>
      <c r="H8" t="s">
        <v>117</v>
      </c>
      <c r="I8">
        <v>300</v>
      </c>
      <c r="S8" s="6" t="s">
        <v>483</v>
      </c>
      <c r="T8" s="5"/>
    </row>
    <row r="9" spans="1:20" x14ac:dyDescent="0.25">
      <c r="A9" s="4">
        <v>434001</v>
      </c>
      <c r="C9" s="4">
        <v>2</v>
      </c>
      <c r="D9" t="s">
        <v>655</v>
      </c>
      <c r="E9" s="107" t="s">
        <v>35</v>
      </c>
      <c r="F9" s="5" t="s">
        <v>26</v>
      </c>
      <c r="G9">
        <v>1</v>
      </c>
      <c r="H9" t="s">
        <v>117</v>
      </c>
      <c r="I9">
        <v>300</v>
      </c>
      <c r="S9" s="6" t="s">
        <v>673</v>
      </c>
      <c r="T9" s="5"/>
    </row>
    <row r="10" spans="1:20" x14ac:dyDescent="0.25">
      <c r="A10" s="4">
        <v>434001</v>
      </c>
      <c r="C10" s="4">
        <v>2</v>
      </c>
      <c r="D10" t="s">
        <v>672</v>
      </c>
      <c r="E10" s="107" t="s">
        <v>31</v>
      </c>
      <c r="F10" s="5" t="s">
        <v>26</v>
      </c>
      <c r="G10">
        <v>1</v>
      </c>
      <c r="H10" t="s">
        <v>117</v>
      </c>
      <c r="I10">
        <v>300</v>
      </c>
      <c r="S10" s="6" t="s">
        <v>674</v>
      </c>
      <c r="T10" s="5"/>
    </row>
    <row r="11" spans="1:20" x14ac:dyDescent="0.25">
      <c r="A11" s="4">
        <v>434001</v>
      </c>
      <c r="C11" s="4">
        <v>2</v>
      </c>
      <c r="D11" t="s">
        <v>656</v>
      </c>
      <c r="E11" s="107" t="s">
        <v>36</v>
      </c>
      <c r="F11" s="5" t="s">
        <v>26</v>
      </c>
      <c r="G11">
        <v>1</v>
      </c>
      <c r="H11" t="s">
        <v>117</v>
      </c>
      <c r="I11">
        <v>300</v>
      </c>
      <c r="S11" s="6" t="s">
        <v>484</v>
      </c>
      <c r="T11" s="5"/>
    </row>
    <row r="12" spans="1:20" x14ac:dyDescent="0.25">
      <c r="A12" s="4">
        <v>434001</v>
      </c>
      <c r="C12" s="4">
        <v>2</v>
      </c>
      <c r="D12" t="s">
        <v>664</v>
      </c>
      <c r="E12" s="107" t="s">
        <v>49</v>
      </c>
      <c r="F12" s="5" t="s">
        <v>26</v>
      </c>
      <c r="G12">
        <v>1</v>
      </c>
      <c r="H12" t="s">
        <v>117</v>
      </c>
      <c r="I12">
        <v>300</v>
      </c>
      <c r="S12" s="6" t="s">
        <v>666</v>
      </c>
      <c r="T12" s="5"/>
    </row>
    <row r="13" spans="1:20" x14ac:dyDescent="0.25">
      <c r="A13" s="4">
        <v>434001</v>
      </c>
      <c r="C13" s="4">
        <v>2</v>
      </c>
      <c r="D13" t="s">
        <v>665</v>
      </c>
      <c r="E13" s="107" t="s">
        <v>57</v>
      </c>
      <c r="F13" s="5" t="s">
        <v>26</v>
      </c>
      <c r="G13">
        <v>1</v>
      </c>
      <c r="H13" t="s">
        <v>117</v>
      </c>
      <c r="I13">
        <v>300</v>
      </c>
      <c r="S13" s="6" t="s">
        <v>667</v>
      </c>
      <c r="T13" s="5"/>
    </row>
    <row r="14" spans="1:20" x14ac:dyDescent="0.25">
      <c r="A14" s="4">
        <v>434001</v>
      </c>
      <c r="C14" s="4">
        <v>2</v>
      </c>
      <c r="D14" t="s">
        <v>557</v>
      </c>
      <c r="E14" s="107" t="s">
        <v>65</v>
      </c>
      <c r="F14" s="5" t="s">
        <v>26</v>
      </c>
      <c r="G14">
        <v>1</v>
      </c>
      <c r="H14" t="s">
        <v>117</v>
      </c>
      <c r="I14">
        <v>300</v>
      </c>
      <c r="S14" s="6" t="s">
        <v>456</v>
      </c>
      <c r="T14" s="5"/>
    </row>
    <row r="15" spans="1:20" x14ac:dyDescent="0.25">
      <c r="A15" s="4">
        <v>434001</v>
      </c>
      <c r="C15" s="4">
        <v>2</v>
      </c>
      <c r="D15" t="s">
        <v>555</v>
      </c>
      <c r="E15" s="107" t="s">
        <v>54</v>
      </c>
      <c r="F15" s="5" t="s">
        <v>26</v>
      </c>
      <c r="G15">
        <v>1</v>
      </c>
      <c r="H15" t="s">
        <v>117</v>
      </c>
      <c r="I15">
        <v>300</v>
      </c>
      <c r="S15" s="6" t="s">
        <v>70</v>
      </c>
      <c r="T15" s="5"/>
    </row>
    <row r="16" spans="1:20" x14ac:dyDescent="0.25">
      <c r="A16" s="4">
        <v>434001</v>
      </c>
      <c r="C16" s="4">
        <v>2</v>
      </c>
      <c r="D16" t="s">
        <v>556</v>
      </c>
      <c r="E16" s="107" t="s">
        <v>38</v>
      </c>
      <c r="F16" s="5" t="s">
        <v>26</v>
      </c>
      <c r="G16">
        <v>1</v>
      </c>
      <c r="H16" t="s">
        <v>117</v>
      </c>
      <c r="I16">
        <v>300</v>
      </c>
      <c r="S16" s="6" t="s">
        <v>50</v>
      </c>
      <c r="T16" s="5"/>
    </row>
    <row r="17" spans="1:20" x14ac:dyDescent="0.25">
      <c r="A17" s="4">
        <v>434001</v>
      </c>
      <c r="C17" s="4">
        <v>2</v>
      </c>
      <c r="D17" t="s">
        <v>996</v>
      </c>
      <c r="E17" s="107" t="s">
        <v>77</v>
      </c>
      <c r="F17" s="5" t="s">
        <v>26</v>
      </c>
      <c r="G17">
        <v>1</v>
      </c>
      <c r="H17" t="s">
        <v>117</v>
      </c>
      <c r="I17">
        <v>300</v>
      </c>
      <c r="S17" s="6" t="s">
        <v>995</v>
      </c>
      <c r="T17" s="5"/>
    </row>
    <row r="18" spans="1:20" x14ac:dyDescent="0.25">
      <c r="A18" s="4">
        <v>434001</v>
      </c>
      <c r="C18" s="4">
        <v>2</v>
      </c>
      <c r="D18" t="s">
        <v>994</v>
      </c>
      <c r="E18" s="107" t="s">
        <v>80</v>
      </c>
      <c r="F18" s="5" t="s">
        <v>26</v>
      </c>
      <c r="G18">
        <v>1</v>
      </c>
      <c r="H18" t="s">
        <v>117</v>
      </c>
      <c r="I18">
        <v>300</v>
      </c>
      <c r="S18" s="6" t="s">
        <v>993</v>
      </c>
      <c r="T18" s="5"/>
    </row>
    <row r="19" spans="1:20" x14ac:dyDescent="0.25">
      <c r="A19" s="4">
        <v>434001</v>
      </c>
      <c r="C19" s="4">
        <v>2</v>
      </c>
      <c r="D19" t="s">
        <v>992</v>
      </c>
      <c r="E19" s="107" t="s">
        <v>72</v>
      </c>
      <c r="F19" s="5" t="s">
        <v>26</v>
      </c>
      <c r="G19">
        <v>1</v>
      </c>
      <c r="H19" t="s">
        <v>117</v>
      </c>
      <c r="I19">
        <v>300</v>
      </c>
      <c r="S19" t="s">
        <v>991</v>
      </c>
      <c r="T19" s="5"/>
    </row>
    <row r="20" spans="1:20" x14ac:dyDescent="0.25">
      <c r="A20" s="4">
        <v>434001</v>
      </c>
      <c r="C20" s="4">
        <v>2</v>
      </c>
      <c r="D20" t="s">
        <v>990</v>
      </c>
      <c r="E20" s="107" t="s">
        <v>52</v>
      </c>
      <c r="F20" s="5" t="s">
        <v>26</v>
      </c>
      <c r="G20">
        <v>1</v>
      </c>
      <c r="H20" t="s">
        <v>117</v>
      </c>
      <c r="I20">
        <v>300</v>
      </c>
      <c r="S20" t="s">
        <v>989</v>
      </c>
      <c r="T20" s="5"/>
    </row>
    <row r="21" spans="1:20" x14ac:dyDescent="0.25">
      <c r="A21" s="4">
        <v>434001</v>
      </c>
      <c r="C21" s="4">
        <v>3</v>
      </c>
      <c r="D21" t="s">
        <v>657</v>
      </c>
      <c r="E21" s="107" t="s">
        <v>29</v>
      </c>
      <c r="F21" s="5" t="s">
        <v>26</v>
      </c>
      <c r="G21">
        <v>1</v>
      </c>
      <c r="H21" t="s">
        <v>117</v>
      </c>
      <c r="I21">
        <v>300</v>
      </c>
      <c r="S21" t="s">
        <v>988</v>
      </c>
    </row>
    <row r="22" spans="1:20" x14ac:dyDescent="0.25">
      <c r="A22" s="4">
        <v>434001</v>
      </c>
      <c r="C22" s="4">
        <v>3</v>
      </c>
      <c r="D22" t="s">
        <v>559</v>
      </c>
      <c r="E22" s="107" t="s">
        <v>25</v>
      </c>
      <c r="F22" s="5" t="s">
        <v>26</v>
      </c>
      <c r="G22">
        <v>1</v>
      </c>
      <c r="H22" t="s">
        <v>117</v>
      </c>
      <c r="I22">
        <v>300</v>
      </c>
      <c r="S22" t="s">
        <v>465</v>
      </c>
    </row>
    <row r="23" spans="1:20" x14ac:dyDescent="0.25">
      <c r="A23" s="4">
        <v>434001</v>
      </c>
      <c r="C23" s="4">
        <v>3</v>
      </c>
      <c r="D23" t="s">
        <v>658</v>
      </c>
      <c r="E23" s="107" t="s">
        <v>27</v>
      </c>
      <c r="F23" s="5" t="s">
        <v>26</v>
      </c>
      <c r="G23">
        <v>1</v>
      </c>
      <c r="H23" t="s">
        <v>117</v>
      </c>
      <c r="I23">
        <v>300</v>
      </c>
      <c r="S23" t="s">
        <v>987</v>
      </c>
    </row>
    <row r="24" spans="1:20" x14ac:dyDescent="0.25">
      <c r="A24" s="4">
        <v>434001</v>
      </c>
      <c r="C24" s="4">
        <v>3</v>
      </c>
      <c r="D24" t="s">
        <v>659</v>
      </c>
      <c r="E24" s="107" t="s">
        <v>35</v>
      </c>
      <c r="F24" s="5" t="s">
        <v>26</v>
      </c>
      <c r="G24">
        <v>1</v>
      </c>
      <c r="H24" t="s">
        <v>117</v>
      </c>
      <c r="I24">
        <v>300</v>
      </c>
      <c r="S24" t="s">
        <v>986</v>
      </c>
    </row>
    <row r="25" spans="1:20" x14ac:dyDescent="0.25">
      <c r="A25" s="4">
        <v>434001</v>
      </c>
      <c r="C25" s="4">
        <v>3</v>
      </c>
      <c r="D25" t="s">
        <v>660</v>
      </c>
      <c r="E25" s="107" t="s">
        <v>31</v>
      </c>
      <c r="F25" s="5" t="s">
        <v>26</v>
      </c>
      <c r="G25">
        <v>1</v>
      </c>
      <c r="H25" t="s">
        <v>117</v>
      </c>
      <c r="I25">
        <v>300</v>
      </c>
      <c r="S25" t="s">
        <v>985</v>
      </c>
    </row>
    <row r="26" spans="1:20" x14ac:dyDescent="0.25">
      <c r="A26" s="4">
        <v>434001</v>
      </c>
      <c r="C26" s="4">
        <v>3</v>
      </c>
      <c r="D26" t="s">
        <v>661</v>
      </c>
      <c r="E26" s="107" t="s">
        <v>33</v>
      </c>
      <c r="F26" s="5" t="s">
        <v>26</v>
      </c>
      <c r="G26">
        <v>1</v>
      </c>
      <c r="H26" t="s">
        <v>117</v>
      </c>
      <c r="I26">
        <v>300</v>
      </c>
      <c r="S26" t="s">
        <v>984</v>
      </c>
    </row>
    <row r="27" spans="1:20" x14ac:dyDescent="0.25">
      <c r="A27" s="4">
        <v>434001</v>
      </c>
      <c r="C27" s="4">
        <v>3</v>
      </c>
      <c r="D27" t="s">
        <v>662</v>
      </c>
      <c r="E27" s="107" t="s">
        <v>36</v>
      </c>
      <c r="F27" s="5" t="s">
        <v>26</v>
      </c>
      <c r="G27">
        <v>1</v>
      </c>
      <c r="H27" t="s">
        <v>117</v>
      </c>
      <c r="I27">
        <v>300</v>
      </c>
      <c r="S27" t="s">
        <v>983</v>
      </c>
    </row>
    <row r="28" spans="1:20" x14ac:dyDescent="0.25">
      <c r="A28" s="4">
        <v>434001</v>
      </c>
      <c r="C28" s="4">
        <v>3</v>
      </c>
      <c r="D28" t="s">
        <v>663</v>
      </c>
      <c r="E28" s="107" t="s">
        <v>49</v>
      </c>
      <c r="F28" s="5" t="s">
        <v>26</v>
      </c>
      <c r="G28">
        <v>1</v>
      </c>
      <c r="H28" t="s">
        <v>117</v>
      </c>
      <c r="I28">
        <v>300</v>
      </c>
      <c r="S28" t="s">
        <v>982</v>
      </c>
    </row>
    <row r="29" spans="1:20" x14ac:dyDescent="0.25">
      <c r="A29" s="4">
        <v>434001</v>
      </c>
      <c r="C29" s="4">
        <v>3</v>
      </c>
      <c r="D29" t="s">
        <v>981</v>
      </c>
      <c r="E29" s="107" t="s">
        <v>57</v>
      </c>
      <c r="F29" s="5" t="s">
        <v>26</v>
      </c>
      <c r="G29">
        <v>1</v>
      </c>
      <c r="H29" t="s">
        <v>117</v>
      </c>
      <c r="I29">
        <v>300</v>
      </c>
      <c r="S29" t="s">
        <v>980</v>
      </c>
      <c r="T29" s="5"/>
    </row>
    <row r="30" spans="1:20" x14ac:dyDescent="0.25">
      <c r="A30" s="4">
        <v>434001</v>
      </c>
      <c r="C30" s="4">
        <v>3</v>
      </c>
      <c r="D30" t="s">
        <v>979</v>
      </c>
      <c r="E30" s="107" t="s">
        <v>65</v>
      </c>
      <c r="F30" s="5" t="s">
        <v>26</v>
      </c>
      <c r="G30">
        <v>1</v>
      </c>
      <c r="H30" t="s">
        <v>117</v>
      </c>
      <c r="I30">
        <v>300</v>
      </c>
      <c r="S30" t="s">
        <v>950</v>
      </c>
      <c r="T30" s="5"/>
    </row>
    <row r="31" spans="1:20" x14ac:dyDescent="0.25">
      <c r="A31" s="4">
        <v>434001</v>
      </c>
      <c r="C31" s="4">
        <v>3</v>
      </c>
      <c r="D31" t="s">
        <v>978</v>
      </c>
      <c r="E31" s="107" t="s">
        <v>54</v>
      </c>
      <c r="F31" s="5" t="s">
        <v>26</v>
      </c>
      <c r="G31">
        <v>1</v>
      </c>
      <c r="H31" t="s">
        <v>117</v>
      </c>
      <c r="I31">
        <v>300</v>
      </c>
      <c r="S31" t="s">
        <v>948</v>
      </c>
      <c r="T31" s="5"/>
    </row>
    <row r="32" spans="1:20" x14ac:dyDescent="0.25">
      <c r="A32" s="4">
        <v>434001</v>
      </c>
      <c r="C32" s="4">
        <v>3</v>
      </c>
      <c r="D32" t="s">
        <v>977</v>
      </c>
      <c r="E32" s="107" t="s">
        <v>38</v>
      </c>
      <c r="F32" s="5" t="s">
        <v>26</v>
      </c>
      <c r="G32">
        <v>1</v>
      </c>
      <c r="H32" t="s">
        <v>117</v>
      </c>
      <c r="I32">
        <v>300</v>
      </c>
      <c r="S32" t="s">
        <v>596</v>
      </c>
      <c r="T32" s="5"/>
    </row>
    <row r="33" spans="1:20" x14ac:dyDescent="0.25">
      <c r="A33" s="4">
        <v>434001</v>
      </c>
      <c r="C33" s="4">
        <v>3</v>
      </c>
      <c r="D33" t="s">
        <v>976</v>
      </c>
      <c r="E33" s="107" t="s">
        <v>77</v>
      </c>
      <c r="F33" s="5" t="s">
        <v>26</v>
      </c>
      <c r="G33">
        <v>1</v>
      </c>
      <c r="H33" t="s">
        <v>117</v>
      </c>
      <c r="I33">
        <v>300</v>
      </c>
      <c r="S33" t="s">
        <v>945</v>
      </c>
      <c r="T33" s="5"/>
    </row>
    <row r="34" spans="1:20" x14ac:dyDescent="0.25">
      <c r="A34" s="4">
        <v>434001</v>
      </c>
      <c r="C34" s="4">
        <v>3</v>
      </c>
      <c r="D34" t="s">
        <v>975</v>
      </c>
      <c r="E34" s="107" t="s">
        <v>80</v>
      </c>
      <c r="F34" s="5" t="s">
        <v>26</v>
      </c>
      <c r="G34">
        <v>1</v>
      </c>
      <c r="H34" t="s">
        <v>117</v>
      </c>
      <c r="I34">
        <v>300</v>
      </c>
      <c r="S34" t="s">
        <v>629</v>
      </c>
      <c r="T34" s="5"/>
    </row>
    <row r="35" spans="1:20" x14ac:dyDescent="0.25">
      <c r="A35" s="4">
        <v>434001</v>
      </c>
      <c r="C35" s="4">
        <v>3</v>
      </c>
      <c r="D35" t="s">
        <v>974</v>
      </c>
      <c r="E35" s="107" t="s">
        <v>72</v>
      </c>
      <c r="F35" s="5" t="s">
        <v>26</v>
      </c>
      <c r="G35">
        <v>1</v>
      </c>
      <c r="H35" t="s">
        <v>117</v>
      </c>
      <c r="I35">
        <v>300</v>
      </c>
      <c r="S35" t="s">
        <v>597</v>
      </c>
      <c r="T35" s="5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/>
  <dimension ref="A1:T61"/>
  <sheetViews>
    <sheetView topLeftCell="A31" zoomScale="85" zoomScaleNormal="85" workbookViewId="0">
      <selection activeCell="G46" sqref="G46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646</v>
      </c>
      <c r="E3" s="4" t="s">
        <v>29</v>
      </c>
      <c r="F3" s="5" t="s">
        <v>26</v>
      </c>
      <c r="G3">
        <v>1</v>
      </c>
      <c r="H3" t="s">
        <v>117</v>
      </c>
      <c r="I3">
        <v>300</v>
      </c>
      <c r="S3" s="6" t="s">
        <v>648</v>
      </c>
      <c r="T3" s="5"/>
    </row>
    <row r="4" spans="1:20" x14ac:dyDescent="0.25">
      <c r="A4" s="4">
        <v>434001</v>
      </c>
      <c r="C4" s="4">
        <v>0</v>
      </c>
      <c r="D4" t="s">
        <v>647</v>
      </c>
      <c r="E4" s="4" t="s">
        <v>25</v>
      </c>
      <c r="F4" s="5" t="s">
        <v>26</v>
      </c>
      <c r="G4">
        <v>1</v>
      </c>
      <c r="H4" t="s">
        <v>117</v>
      </c>
      <c r="I4">
        <v>300</v>
      </c>
      <c r="S4" s="6" t="s">
        <v>649</v>
      </c>
      <c r="T4" s="5"/>
    </row>
    <row r="5" spans="1:20" x14ac:dyDescent="0.25">
      <c r="A5" s="4">
        <v>434001</v>
      </c>
      <c r="C5" s="4">
        <v>0</v>
      </c>
      <c r="D5" t="s">
        <v>758</v>
      </c>
      <c r="E5" s="4" t="s">
        <v>27</v>
      </c>
      <c r="F5" s="5" t="s">
        <v>26</v>
      </c>
      <c r="G5">
        <v>1</v>
      </c>
      <c r="H5" t="s">
        <v>117</v>
      </c>
      <c r="I5">
        <v>300</v>
      </c>
      <c r="S5" t="s">
        <v>764</v>
      </c>
      <c r="T5" s="5"/>
    </row>
    <row r="6" spans="1:20" x14ac:dyDescent="0.25">
      <c r="A6" s="4">
        <v>434001</v>
      </c>
      <c r="C6" s="4">
        <v>0</v>
      </c>
      <c r="D6" t="s">
        <v>759</v>
      </c>
      <c r="E6" s="4" t="s">
        <v>35</v>
      </c>
      <c r="F6" s="5" t="s">
        <v>26</v>
      </c>
      <c r="G6">
        <v>1</v>
      </c>
      <c r="H6" t="s">
        <v>117</v>
      </c>
      <c r="I6">
        <v>300</v>
      </c>
      <c r="S6" t="s">
        <v>763</v>
      </c>
      <c r="T6" s="5"/>
    </row>
    <row r="7" spans="1:20" x14ac:dyDescent="0.25">
      <c r="A7" s="10">
        <v>434001</v>
      </c>
      <c r="B7" s="10"/>
      <c r="C7" s="10">
        <v>0</v>
      </c>
      <c r="D7" s="11" t="s">
        <v>765</v>
      </c>
      <c r="E7" s="10" t="s">
        <v>31</v>
      </c>
      <c r="F7" s="94" t="s">
        <v>26</v>
      </c>
      <c r="G7" s="11">
        <v>1</v>
      </c>
      <c r="H7" s="11" t="s">
        <v>117</v>
      </c>
      <c r="I7" s="11">
        <v>300</v>
      </c>
      <c r="J7" s="11"/>
      <c r="K7" s="11"/>
      <c r="L7" s="11"/>
      <c r="M7" s="11"/>
      <c r="N7" s="11"/>
      <c r="O7" s="11"/>
      <c r="P7" s="11"/>
      <c r="Q7" s="11"/>
      <c r="R7" s="11"/>
      <c r="S7" s="11" t="s">
        <v>766</v>
      </c>
      <c r="T7" s="11"/>
    </row>
    <row r="8" spans="1:20" x14ac:dyDescent="0.25">
      <c r="A8" s="8">
        <v>434001</v>
      </c>
      <c r="B8" s="8"/>
      <c r="C8" s="8">
        <v>0</v>
      </c>
      <c r="D8" s="7" t="s">
        <v>478</v>
      </c>
      <c r="E8" s="8" t="s">
        <v>49</v>
      </c>
      <c r="F8" s="111" t="s">
        <v>26</v>
      </c>
      <c r="G8" s="7">
        <v>1</v>
      </c>
      <c r="H8" s="7" t="s">
        <v>117</v>
      </c>
      <c r="I8" s="7">
        <v>300</v>
      </c>
      <c r="J8" s="7"/>
      <c r="K8" s="7"/>
      <c r="L8" s="7"/>
      <c r="M8" s="7"/>
      <c r="N8" s="7"/>
      <c r="O8" s="7"/>
      <c r="P8" s="7"/>
      <c r="Q8" s="7"/>
      <c r="R8" s="7"/>
      <c r="S8" s="7" t="s">
        <v>479</v>
      </c>
      <c r="T8" s="11"/>
    </row>
    <row r="9" spans="1:20" x14ac:dyDescent="0.25">
      <c r="A9" s="4">
        <v>434001</v>
      </c>
      <c r="C9" s="4">
        <v>1</v>
      </c>
      <c r="D9" t="s">
        <v>828</v>
      </c>
      <c r="E9" s="4" t="s">
        <v>29</v>
      </c>
      <c r="F9" s="5" t="s">
        <v>26</v>
      </c>
      <c r="G9">
        <v>1</v>
      </c>
      <c r="H9" t="s">
        <v>117</v>
      </c>
      <c r="I9">
        <v>300</v>
      </c>
      <c r="S9" t="s">
        <v>596</v>
      </c>
      <c r="T9" s="5"/>
    </row>
    <row r="10" spans="1:20" x14ac:dyDescent="0.25">
      <c r="A10" s="4">
        <v>434001</v>
      </c>
      <c r="C10" s="4">
        <v>1</v>
      </c>
      <c r="D10" t="s">
        <v>767</v>
      </c>
      <c r="E10" s="4" t="s">
        <v>25</v>
      </c>
      <c r="F10" s="5" t="s">
        <v>26</v>
      </c>
      <c r="G10">
        <v>1</v>
      </c>
      <c r="H10" t="s">
        <v>117</v>
      </c>
      <c r="I10">
        <v>300</v>
      </c>
      <c r="S10" t="s">
        <v>777</v>
      </c>
      <c r="T10" s="5"/>
    </row>
    <row r="11" spans="1:20" x14ac:dyDescent="0.25">
      <c r="A11" s="4">
        <v>434001</v>
      </c>
      <c r="C11" s="4">
        <v>1</v>
      </c>
      <c r="D11" t="s">
        <v>768</v>
      </c>
      <c r="E11" s="4" t="s">
        <v>27</v>
      </c>
      <c r="F11" s="5" t="s">
        <v>26</v>
      </c>
      <c r="G11">
        <v>1</v>
      </c>
      <c r="H11" t="s">
        <v>117</v>
      </c>
      <c r="I11">
        <v>300</v>
      </c>
      <c r="S11" t="s">
        <v>778</v>
      </c>
      <c r="T11" s="5"/>
    </row>
    <row r="12" spans="1:20" x14ac:dyDescent="0.25">
      <c r="A12" s="4">
        <v>434001</v>
      </c>
      <c r="C12" s="4">
        <v>1</v>
      </c>
      <c r="D12" t="s">
        <v>843</v>
      </c>
      <c r="E12" s="4" t="s">
        <v>35</v>
      </c>
      <c r="F12" s="5" t="s">
        <v>26</v>
      </c>
      <c r="G12">
        <v>1</v>
      </c>
      <c r="H12" t="s">
        <v>117</v>
      </c>
      <c r="I12">
        <v>300</v>
      </c>
      <c r="S12" t="s">
        <v>779</v>
      </c>
      <c r="T12" s="5"/>
    </row>
    <row r="13" spans="1:20" x14ac:dyDescent="0.25">
      <c r="A13" s="4">
        <v>434001</v>
      </c>
      <c r="C13" s="4">
        <v>1</v>
      </c>
      <c r="D13" t="s">
        <v>769</v>
      </c>
      <c r="E13" s="4" t="s">
        <v>31</v>
      </c>
      <c r="F13" s="5" t="s">
        <v>26</v>
      </c>
      <c r="G13">
        <v>1</v>
      </c>
      <c r="H13" t="s">
        <v>117</v>
      </c>
      <c r="I13">
        <v>300</v>
      </c>
      <c r="S13" t="s">
        <v>780</v>
      </c>
      <c r="T13" s="5"/>
    </row>
    <row r="14" spans="1:20" x14ac:dyDescent="0.25">
      <c r="A14" s="4">
        <v>434001</v>
      </c>
      <c r="C14" s="4">
        <v>1</v>
      </c>
      <c r="D14" t="s">
        <v>627</v>
      </c>
      <c r="E14" s="4" t="s">
        <v>33</v>
      </c>
      <c r="F14" s="5" t="s">
        <v>26</v>
      </c>
      <c r="G14">
        <v>1</v>
      </c>
      <c r="H14" t="s">
        <v>117</v>
      </c>
      <c r="I14">
        <v>300</v>
      </c>
      <c r="S14" t="s">
        <v>781</v>
      </c>
      <c r="T14" s="5"/>
    </row>
    <row r="15" spans="1:20" x14ac:dyDescent="0.25">
      <c r="A15" s="4">
        <v>434001</v>
      </c>
      <c r="C15" s="4">
        <v>1</v>
      </c>
      <c r="D15" t="s">
        <v>770</v>
      </c>
      <c r="E15" s="4" t="s">
        <v>36</v>
      </c>
      <c r="F15" s="5" t="s">
        <v>26</v>
      </c>
      <c r="G15">
        <v>1</v>
      </c>
      <c r="H15" t="s">
        <v>117</v>
      </c>
      <c r="I15">
        <v>300</v>
      </c>
      <c r="S15" t="s">
        <v>782</v>
      </c>
      <c r="T15" s="5"/>
    </row>
    <row r="16" spans="1:20" x14ac:dyDescent="0.25">
      <c r="A16" s="4">
        <v>434001</v>
      </c>
      <c r="C16" s="4">
        <v>1</v>
      </c>
      <c r="D16" t="s">
        <v>771</v>
      </c>
      <c r="E16" s="4" t="s">
        <v>49</v>
      </c>
      <c r="F16" s="5" t="s">
        <v>26</v>
      </c>
      <c r="G16">
        <v>1</v>
      </c>
      <c r="H16" t="s">
        <v>117</v>
      </c>
      <c r="I16">
        <v>300</v>
      </c>
      <c r="S16" t="s">
        <v>783</v>
      </c>
      <c r="T16" s="5"/>
    </row>
    <row r="17" spans="1:20" x14ac:dyDescent="0.25">
      <c r="A17" s="4">
        <v>434001</v>
      </c>
      <c r="C17" s="4">
        <v>1</v>
      </c>
      <c r="D17" t="s">
        <v>772</v>
      </c>
      <c r="E17" s="4" t="s">
        <v>57</v>
      </c>
      <c r="F17" s="5" t="s">
        <v>26</v>
      </c>
      <c r="G17">
        <v>1</v>
      </c>
      <c r="H17" t="s">
        <v>117</v>
      </c>
      <c r="I17">
        <v>300</v>
      </c>
      <c r="S17" t="s">
        <v>784</v>
      </c>
      <c r="T17" s="5"/>
    </row>
    <row r="18" spans="1:20" x14ac:dyDescent="0.25">
      <c r="A18" s="4">
        <v>434001</v>
      </c>
      <c r="C18" s="4">
        <v>1</v>
      </c>
      <c r="D18" t="s">
        <v>773</v>
      </c>
      <c r="E18" s="4" t="s">
        <v>65</v>
      </c>
      <c r="F18" s="5" t="s">
        <v>26</v>
      </c>
      <c r="G18">
        <v>1</v>
      </c>
      <c r="H18" t="s">
        <v>117</v>
      </c>
      <c r="I18">
        <v>300</v>
      </c>
      <c r="S18" t="s">
        <v>785</v>
      </c>
      <c r="T18" s="5"/>
    </row>
    <row r="19" spans="1:20" x14ac:dyDescent="0.25">
      <c r="A19" s="4">
        <v>434001</v>
      </c>
      <c r="C19" s="4">
        <v>1</v>
      </c>
      <c r="D19" t="s">
        <v>774</v>
      </c>
      <c r="E19" s="4" t="s">
        <v>54</v>
      </c>
      <c r="F19" s="5" t="s">
        <v>26</v>
      </c>
      <c r="G19">
        <v>1</v>
      </c>
      <c r="H19" t="s">
        <v>117</v>
      </c>
      <c r="I19">
        <v>300</v>
      </c>
      <c r="S19" t="s">
        <v>786</v>
      </c>
      <c r="T19" s="5"/>
    </row>
    <row r="20" spans="1:20" x14ac:dyDescent="0.25">
      <c r="A20" s="4">
        <v>434001</v>
      </c>
      <c r="C20" s="4">
        <v>1</v>
      </c>
      <c r="D20" t="s">
        <v>775</v>
      </c>
      <c r="E20" s="4" t="s">
        <v>38</v>
      </c>
      <c r="F20" s="5" t="s">
        <v>26</v>
      </c>
      <c r="G20">
        <v>1</v>
      </c>
      <c r="H20" t="s">
        <v>117</v>
      </c>
      <c r="I20">
        <v>300</v>
      </c>
      <c r="S20" t="s">
        <v>787</v>
      </c>
      <c r="T20" s="5"/>
    </row>
    <row r="21" spans="1:20" x14ac:dyDescent="0.25">
      <c r="A21" s="4">
        <v>434001</v>
      </c>
      <c r="C21" s="4">
        <v>1</v>
      </c>
      <c r="D21" t="s">
        <v>776</v>
      </c>
      <c r="E21" s="4" t="s">
        <v>77</v>
      </c>
      <c r="F21" s="5" t="s">
        <v>26</v>
      </c>
      <c r="G21">
        <v>1</v>
      </c>
      <c r="H21" t="s">
        <v>117</v>
      </c>
      <c r="I21">
        <v>300</v>
      </c>
      <c r="S21" t="s">
        <v>788</v>
      </c>
      <c r="T21" s="5"/>
    </row>
    <row r="22" spans="1:20" x14ac:dyDescent="0.25">
      <c r="A22" s="4">
        <v>434001</v>
      </c>
      <c r="C22" s="4">
        <v>2</v>
      </c>
      <c r="D22" t="s">
        <v>829</v>
      </c>
      <c r="E22" s="4" t="s">
        <v>29</v>
      </c>
      <c r="F22" s="5" t="s">
        <v>26</v>
      </c>
      <c r="G22">
        <v>1</v>
      </c>
      <c r="H22" t="s">
        <v>117</v>
      </c>
      <c r="I22">
        <v>300</v>
      </c>
      <c r="S22" t="s">
        <v>596</v>
      </c>
      <c r="T22" s="5"/>
    </row>
    <row r="23" spans="1:20" x14ac:dyDescent="0.25">
      <c r="A23" s="4">
        <v>434001</v>
      </c>
      <c r="C23" s="4">
        <v>2</v>
      </c>
      <c r="D23" t="s">
        <v>794</v>
      </c>
      <c r="E23" s="4" t="s">
        <v>25</v>
      </c>
      <c r="F23" s="5" t="s">
        <v>26</v>
      </c>
      <c r="G23">
        <v>1</v>
      </c>
      <c r="H23" t="s">
        <v>117</v>
      </c>
      <c r="I23">
        <v>300</v>
      </c>
      <c r="S23" t="s">
        <v>777</v>
      </c>
      <c r="T23" s="5"/>
    </row>
    <row r="24" spans="1:20" x14ac:dyDescent="0.25">
      <c r="A24" s="4">
        <v>434001</v>
      </c>
      <c r="C24" s="4">
        <v>2</v>
      </c>
      <c r="D24" t="s">
        <v>795</v>
      </c>
      <c r="E24" s="4" t="s">
        <v>27</v>
      </c>
      <c r="F24" s="5" t="s">
        <v>26</v>
      </c>
      <c r="G24">
        <v>1</v>
      </c>
      <c r="H24" t="s">
        <v>117</v>
      </c>
      <c r="I24">
        <v>300</v>
      </c>
      <c r="S24" t="s">
        <v>778</v>
      </c>
      <c r="T24" s="5"/>
    </row>
    <row r="25" spans="1:20" x14ac:dyDescent="0.25">
      <c r="A25" s="4">
        <v>434001</v>
      </c>
      <c r="C25" s="4">
        <v>2</v>
      </c>
      <c r="D25" t="s">
        <v>796</v>
      </c>
      <c r="E25" s="4" t="s">
        <v>35</v>
      </c>
      <c r="F25" s="5" t="s">
        <v>26</v>
      </c>
      <c r="G25">
        <v>1</v>
      </c>
      <c r="H25" t="s">
        <v>117</v>
      </c>
      <c r="I25">
        <v>300</v>
      </c>
      <c r="S25" t="s">
        <v>779</v>
      </c>
      <c r="T25" s="5"/>
    </row>
    <row r="26" spans="1:20" x14ac:dyDescent="0.25">
      <c r="A26" s="4">
        <v>434001</v>
      </c>
      <c r="C26" s="4">
        <v>2</v>
      </c>
      <c r="D26" t="s">
        <v>797</v>
      </c>
      <c r="E26" s="4" t="s">
        <v>31</v>
      </c>
      <c r="F26" s="5" t="s">
        <v>26</v>
      </c>
      <c r="G26">
        <v>1</v>
      </c>
      <c r="H26" t="s">
        <v>117</v>
      </c>
      <c r="I26">
        <v>300</v>
      </c>
      <c r="S26" t="s">
        <v>780</v>
      </c>
      <c r="T26" s="5"/>
    </row>
    <row r="27" spans="1:20" x14ac:dyDescent="0.25">
      <c r="A27" s="4">
        <v>434001</v>
      </c>
      <c r="C27" s="4">
        <v>2</v>
      </c>
      <c r="D27" t="s">
        <v>628</v>
      </c>
      <c r="E27" s="4" t="s">
        <v>33</v>
      </c>
      <c r="F27" s="5" t="s">
        <v>26</v>
      </c>
      <c r="G27">
        <v>1</v>
      </c>
      <c r="H27" t="s">
        <v>117</v>
      </c>
      <c r="I27">
        <v>300</v>
      </c>
      <c r="S27" t="s">
        <v>781</v>
      </c>
      <c r="T27" s="5"/>
    </row>
    <row r="28" spans="1:20" x14ac:dyDescent="0.25">
      <c r="A28" s="4">
        <v>434001</v>
      </c>
      <c r="C28" s="4">
        <v>2</v>
      </c>
      <c r="D28" t="s">
        <v>798</v>
      </c>
      <c r="E28" s="4" t="s">
        <v>36</v>
      </c>
      <c r="F28" s="5" t="s">
        <v>26</v>
      </c>
      <c r="G28">
        <v>1</v>
      </c>
      <c r="H28" t="s">
        <v>117</v>
      </c>
      <c r="I28">
        <v>300</v>
      </c>
      <c r="S28" t="s">
        <v>782</v>
      </c>
      <c r="T28" s="5"/>
    </row>
    <row r="29" spans="1:20" x14ac:dyDescent="0.25">
      <c r="A29" s="4">
        <v>434001</v>
      </c>
      <c r="C29" s="4">
        <v>2</v>
      </c>
      <c r="D29" t="s">
        <v>799</v>
      </c>
      <c r="E29" s="4" t="s">
        <v>49</v>
      </c>
      <c r="F29" s="5" t="s">
        <v>26</v>
      </c>
      <c r="G29">
        <v>1</v>
      </c>
      <c r="H29" t="s">
        <v>117</v>
      </c>
      <c r="I29">
        <v>300</v>
      </c>
      <c r="S29" t="s">
        <v>783</v>
      </c>
      <c r="T29" s="5"/>
    </row>
    <row r="30" spans="1:20" x14ac:dyDescent="0.25">
      <c r="A30" s="4">
        <v>434001</v>
      </c>
      <c r="C30" s="4">
        <v>2</v>
      </c>
      <c r="D30" t="s">
        <v>789</v>
      </c>
      <c r="E30" s="4" t="s">
        <v>57</v>
      </c>
      <c r="F30" s="5" t="s">
        <v>26</v>
      </c>
      <c r="G30">
        <v>1</v>
      </c>
      <c r="H30" t="s">
        <v>117</v>
      </c>
      <c r="I30">
        <v>300</v>
      </c>
      <c r="S30" t="s">
        <v>784</v>
      </c>
      <c r="T30" s="5"/>
    </row>
    <row r="31" spans="1:20" x14ac:dyDescent="0.25">
      <c r="A31" s="4">
        <v>434001</v>
      </c>
      <c r="C31" s="4">
        <v>2</v>
      </c>
      <c r="D31" t="s">
        <v>790</v>
      </c>
      <c r="E31" s="4" t="s">
        <v>65</v>
      </c>
      <c r="F31" s="5" t="s">
        <v>26</v>
      </c>
      <c r="G31">
        <v>1</v>
      </c>
      <c r="H31" t="s">
        <v>117</v>
      </c>
      <c r="I31">
        <v>300</v>
      </c>
      <c r="S31" t="s">
        <v>785</v>
      </c>
      <c r="T31" s="5"/>
    </row>
    <row r="32" spans="1:20" x14ac:dyDescent="0.25">
      <c r="A32" s="4">
        <v>434001</v>
      </c>
      <c r="C32" s="4">
        <v>2</v>
      </c>
      <c r="D32" t="s">
        <v>791</v>
      </c>
      <c r="E32" s="4" t="s">
        <v>54</v>
      </c>
      <c r="F32" s="5" t="s">
        <v>26</v>
      </c>
      <c r="G32">
        <v>1</v>
      </c>
      <c r="H32" t="s">
        <v>117</v>
      </c>
      <c r="I32">
        <v>300</v>
      </c>
      <c r="S32" t="s">
        <v>786</v>
      </c>
      <c r="T32" s="5"/>
    </row>
    <row r="33" spans="1:20" x14ac:dyDescent="0.25">
      <c r="A33" s="4">
        <v>434001</v>
      </c>
      <c r="C33" s="4">
        <v>2</v>
      </c>
      <c r="D33" t="s">
        <v>792</v>
      </c>
      <c r="E33" s="4" t="s">
        <v>38</v>
      </c>
      <c r="F33" s="5" t="s">
        <v>26</v>
      </c>
      <c r="G33">
        <v>1</v>
      </c>
      <c r="H33" t="s">
        <v>117</v>
      </c>
      <c r="I33">
        <v>300</v>
      </c>
      <c r="S33" t="s">
        <v>787</v>
      </c>
      <c r="T33" s="5"/>
    </row>
    <row r="34" spans="1:20" x14ac:dyDescent="0.25">
      <c r="A34" s="4">
        <v>434001</v>
      </c>
      <c r="C34" s="4">
        <v>2</v>
      </c>
      <c r="D34" t="s">
        <v>793</v>
      </c>
      <c r="E34" s="4" t="s">
        <v>77</v>
      </c>
      <c r="F34" s="5" t="s">
        <v>26</v>
      </c>
      <c r="G34">
        <v>1</v>
      </c>
      <c r="H34" t="s">
        <v>117</v>
      </c>
      <c r="I34">
        <v>300</v>
      </c>
      <c r="S34" t="s">
        <v>788</v>
      </c>
      <c r="T34" s="5"/>
    </row>
    <row r="35" spans="1:20" x14ac:dyDescent="0.25">
      <c r="A35" s="4">
        <v>434001</v>
      </c>
      <c r="C35" s="4">
        <v>3</v>
      </c>
      <c r="D35" t="s">
        <v>710</v>
      </c>
      <c r="F35" s="5" t="s">
        <v>21</v>
      </c>
      <c r="G35">
        <v>1</v>
      </c>
      <c r="H35" t="s">
        <v>117</v>
      </c>
      <c r="I35">
        <v>99999990</v>
      </c>
      <c r="S35" t="s">
        <v>709</v>
      </c>
      <c r="T35" s="5"/>
    </row>
    <row r="36" spans="1:20" x14ac:dyDescent="0.25">
      <c r="A36" s="4">
        <v>434001</v>
      </c>
      <c r="C36" s="4">
        <v>3</v>
      </c>
      <c r="D36" t="s">
        <v>711</v>
      </c>
      <c r="F36" s="5" t="s">
        <v>21</v>
      </c>
      <c r="G36">
        <v>1</v>
      </c>
      <c r="H36" t="s">
        <v>117</v>
      </c>
      <c r="I36">
        <v>99999990</v>
      </c>
      <c r="S36" s="6" t="s">
        <v>815</v>
      </c>
      <c r="T36" s="5"/>
    </row>
    <row r="37" spans="1:20" x14ac:dyDescent="0.25">
      <c r="A37" s="4">
        <v>434001</v>
      </c>
      <c r="C37" s="4">
        <v>0</v>
      </c>
      <c r="D37" t="s">
        <v>712</v>
      </c>
      <c r="E37" s="107" t="s">
        <v>57</v>
      </c>
      <c r="F37" s="5" t="s">
        <v>26</v>
      </c>
      <c r="G37">
        <v>1</v>
      </c>
      <c r="H37" t="s">
        <v>117</v>
      </c>
      <c r="I37">
        <v>300</v>
      </c>
      <c r="S37" t="s">
        <v>197</v>
      </c>
      <c r="T37" s="5"/>
    </row>
    <row r="38" spans="1:20" x14ac:dyDescent="0.25">
      <c r="A38" s="4">
        <v>434001</v>
      </c>
      <c r="C38" s="4">
        <v>3</v>
      </c>
      <c r="D38" t="s">
        <v>713</v>
      </c>
      <c r="F38" s="5" t="s">
        <v>21</v>
      </c>
      <c r="G38">
        <v>1</v>
      </c>
      <c r="H38" t="s">
        <v>117</v>
      </c>
      <c r="I38">
        <v>99999990</v>
      </c>
    </row>
    <row r="39" spans="1:20" x14ac:dyDescent="0.25">
      <c r="A39" s="4">
        <v>434001</v>
      </c>
      <c r="C39" s="4">
        <v>3</v>
      </c>
      <c r="D39" t="s">
        <v>714</v>
      </c>
      <c r="F39" s="5" t="s">
        <v>201</v>
      </c>
      <c r="G39">
        <v>1</v>
      </c>
      <c r="H39" t="s">
        <v>117</v>
      </c>
      <c r="I39">
        <v>300</v>
      </c>
      <c r="S39" t="s">
        <v>202</v>
      </c>
      <c r="T39" s="11"/>
    </row>
    <row r="40" spans="1:20" x14ac:dyDescent="0.25">
      <c r="A40" s="4">
        <v>434001</v>
      </c>
      <c r="C40" s="4">
        <v>5</v>
      </c>
      <c r="D40" t="s">
        <v>715</v>
      </c>
      <c r="F40" s="5" t="s">
        <v>21</v>
      </c>
      <c r="G40">
        <v>1</v>
      </c>
      <c r="H40" t="s">
        <v>117</v>
      </c>
      <c r="I40">
        <v>99999990</v>
      </c>
      <c r="S40" t="s">
        <v>709</v>
      </c>
      <c r="T40" s="5"/>
    </row>
    <row r="41" spans="1:20" x14ac:dyDescent="0.25">
      <c r="A41" s="4">
        <v>434001</v>
      </c>
      <c r="C41" s="4">
        <v>5</v>
      </c>
      <c r="D41" t="s">
        <v>716</v>
      </c>
      <c r="F41" s="5" t="s">
        <v>21</v>
      </c>
      <c r="G41">
        <v>1</v>
      </c>
      <c r="H41" t="s">
        <v>117</v>
      </c>
      <c r="I41">
        <v>99999990</v>
      </c>
      <c r="S41" s="6" t="s">
        <v>816</v>
      </c>
      <c r="T41" s="5"/>
    </row>
    <row r="42" spans="1:20" x14ac:dyDescent="0.25">
      <c r="A42" s="4">
        <v>434001</v>
      </c>
      <c r="C42" s="4">
        <v>0</v>
      </c>
      <c r="D42" t="s">
        <v>717</v>
      </c>
      <c r="E42" s="107" t="s">
        <v>65</v>
      </c>
      <c r="F42" s="5" t="s">
        <v>26</v>
      </c>
      <c r="G42">
        <v>1</v>
      </c>
      <c r="H42" t="s">
        <v>117</v>
      </c>
      <c r="I42">
        <v>300</v>
      </c>
      <c r="S42" t="s">
        <v>197</v>
      </c>
      <c r="T42" s="5"/>
    </row>
    <row r="43" spans="1:20" x14ac:dyDescent="0.25">
      <c r="A43" s="4">
        <v>434001</v>
      </c>
      <c r="C43" s="4">
        <v>5</v>
      </c>
      <c r="D43" t="s">
        <v>718</v>
      </c>
      <c r="F43" s="5" t="s">
        <v>21</v>
      </c>
      <c r="G43">
        <v>1</v>
      </c>
      <c r="H43" t="s">
        <v>117</v>
      </c>
      <c r="I43">
        <v>99999990</v>
      </c>
    </row>
    <row r="44" spans="1:20" x14ac:dyDescent="0.25">
      <c r="A44" s="4">
        <v>434001</v>
      </c>
      <c r="C44" s="4">
        <v>5</v>
      </c>
      <c r="D44" t="s">
        <v>719</v>
      </c>
      <c r="F44" s="5" t="s">
        <v>201</v>
      </c>
      <c r="G44">
        <v>1</v>
      </c>
      <c r="H44" t="s">
        <v>117</v>
      </c>
      <c r="I44">
        <v>300</v>
      </c>
      <c r="S44" t="s">
        <v>202</v>
      </c>
      <c r="T44" s="11"/>
    </row>
    <row r="45" spans="1:20" x14ac:dyDescent="0.25">
      <c r="A45" s="4">
        <v>434001</v>
      </c>
      <c r="C45" s="4">
        <v>7</v>
      </c>
      <c r="D45" t="s">
        <v>805</v>
      </c>
      <c r="F45" s="5" t="s">
        <v>21</v>
      </c>
      <c r="G45">
        <v>1</v>
      </c>
      <c r="H45" t="s">
        <v>117</v>
      </c>
      <c r="I45">
        <v>99999990</v>
      </c>
      <c r="S45" t="s">
        <v>709</v>
      </c>
      <c r="T45" s="5"/>
    </row>
    <row r="46" spans="1:20" x14ac:dyDescent="0.25">
      <c r="A46" s="4">
        <v>434001</v>
      </c>
      <c r="C46" s="4">
        <v>7</v>
      </c>
      <c r="D46" t="s">
        <v>806</v>
      </c>
      <c r="F46" s="5" t="s">
        <v>21</v>
      </c>
      <c r="G46">
        <v>1</v>
      </c>
      <c r="H46" t="s">
        <v>117</v>
      </c>
      <c r="I46">
        <v>99999990</v>
      </c>
      <c r="S46" s="6" t="s">
        <v>817</v>
      </c>
      <c r="T46" s="5"/>
    </row>
    <row r="47" spans="1:20" x14ac:dyDescent="0.25">
      <c r="A47" s="4">
        <v>434001</v>
      </c>
      <c r="C47" s="4">
        <v>0</v>
      </c>
      <c r="D47" t="s">
        <v>807</v>
      </c>
      <c r="E47" s="107" t="s">
        <v>54</v>
      </c>
      <c r="F47" s="5" t="s">
        <v>26</v>
      </c>
      <c r="G47">
        <v>1</v>
      </c>
      <c r="H47" t="s">
        <v>117</v>
      </c>
      <c r="I47">
        <v>300</v>
      </c>
      <c r="S47" t="s">
        <v>197</v>
      </c>
      <c r="T47" s="5"/>
    </row>
    <row r="48" spans="1:20" x14ac:dyDescent="0.25">
      <c r="A48" s="4">
        <v>434001</v>
      </c>
      <c r="C48" s="4">
        <v>7</v>
      </c>
      <c r="D48" t="s">
        <v>808</v>
      </c>
      <c r="F48" s="5" t="s">
        <v>21</v>
      </c>
      <c r="G48">
        <v>1</v>
      </c>
      <c r="H48" t="s">
        <v>117</v>
      </c>
      <c r="I48">
        <v>99999990</v>
      </c>
    </row>
    <row r="49" spans="1:20" x14ac:dyDescent="0.25">
      <c r="A49" s="4">
        <v>434001</v>
      </c>
      <c r="C49" s="4">
        <v>7</v>
      </c>
      <c r="D49" t="s">
        <v>809</v>
      </c>
      <c r="F49" s="5" t="s">
        <v>201</v>
      </c>
      <c r="G49">
        <v>1</v>
      </c>
      <c r="H49" t="s">
        <v>117</v>
      </c>
      <c r="I49">
        <v>300</v>
      </c>
      <c r="S49" t="s">
        <v>202</v>
      </c>
      <c r="T49" s="11"/>
    </row>
    <row r="50" spans="1:20" x14ac:dyDescent="0.25">
      <c r="A50" s="4">
        <v>434001</v>
      </c>
      <c r="C50" s="4">
        <v>9</v>
      </c>
      <c r="D50" t="s">
        <v>800</v>
      </c>
      <c r="F50" s="5" t="s">
        <v>21</v>
      </c>
      <c r="G50">
        <v>1</v>
      </c>
      <c r="H50" t="s">
        <v>117</v>
      </c>
      <c r="I50">
        <v>99999990</v>
      </c>
      <c r="S50" t="s">
        <v>709</v>
      </c>
      <c r="T50" s="5"/>
    </row>
    <row r="51" spans="1:20" x14ac:dyDescent="0.25">
      <c r="A51" s="4">
        <v>434001</v>
      </c>
      <c r="C51" s="4">
        <v>9</v>
      </c>
      <c r="D51" t="s">
        <v>801</v>
      </c>
      <c r="F51" s="5" t="s">
        <v>21</v>
      </c>
      <c r="G51">
        <v>1</v>
      </c>
      <c r="H51" t="s">
        <v>117</v>
      </c>
      <c r="I51">
        <v>99999990</v>
      </c>
      <c r="S51" s="6" t="s">
        <v>818</v>
      </c>
      <c r="T51" s="5"/>
    </row>
    <row r="52" spans="1:20" x14ac:dyDescent="0.25">
      <c r="A52" s="4">
        <v>434001</v>
      </c>
      <c r="C52" s="4">
        <v>0</v>
      </c>
      <c r="D52" t="s">
        <v>802</v>
      </c>
      <c r="E52" s="107" t="s">
        <v>38</v>
      </c>
      <c r="F52" s="5" t="s">
        <v>26</v>
      </c>
      <c r="G52">
        <v>1</v>
      </c>
      <c r="H52" t="s">
        <v>117</v>
      </c>
      <c r="I52">
        <v>300</v>
      </c>
      <c r="S52" t="s">
        <v>197</v>
      </c>
      <c r="T52" s="5"/>
    </row>
    <row r="53" spans="1:20" x14ac:dyDescent="0.25">
      <c r="A53" s="4">
        <v>434001</v>
      </c>
      <c r="C53" s="4">
        <v>9</v>
      </c>
      <c r="D53" t="s">
        <v>803</v>
      </c>
      <c r="F53" s="5" t="s">
        <v>21</v>
      </c>
      <c r="G53">
        <v>1</v>
      </c>
      <c r="H53" t="s">
        <v>117</v>
      </c>
      <c r="I53">
        <v>99999990</v>
      </c>
    </row>
    <row r="54" spans="1:20" x14ac:dyDescent="0.25">
      <c r="A54" s="4">
        <v>434001</v>
      </c>
      <c r="C54" s="4">
        <v>9</v>
      </c>
      <c r="D54" t="s">
        <v>804</v>
      </c>
      <c r="F54" s="5" t="s">
        <v>201</v>
      </c>
      <c r="G54">
        <v>1</v>
      </c>
      <c r="H54" t="s">
        <v>117</v>
      </c>
      <c r="I54">
        <v>300</v>
      </c>
      <c r="S54" t="s">
        <v>202</v>
      </c>
      <c r="T54" s="11"/>
    </row>
    <row r="55" spans="1:20" x14ac:dyDescent="0.25">
      <c r="A55" s="4">
        <v>434001</v>
      </c>
      <c r="C55" s="4">
        <v>11</v>
      </c>
      <c r="D55" t="s">
        <v>810</v>
      </c>
      <c r="F55" s="5" t="s">
        <v>21</v>
      </c>
      <c r="G55">
        <v>1</v>
      </c>
      <c r="H55" t="s">
        <v>117</v>
      </c>
      <c r="I55">
        <v>99999990</v>
      </c>
      <c r="S55" t="s">
        <v>678</v>
      </c>
      <c r="T55" s="5"/>
    </row>
    <row r="56" spans="1:20" x14ac:dyDescent="0.25">
      <c r="A56" s="4">
        <v>434001</v>
      </c>
      <c r="C56" s="4">
        <v>11</v>
      </c>
      <c r="D56" t="s">
        <v>811</v>
      </c>
      <c r="F56" s="5" t="s">
        <v>21</v>
      </c>
      <c r="G56">
        <v>1</v>
      </c>
      <c r="H56" t="s">
        <v>117</v>
      </c>
      <c r="I56">
        <v>99999990</v>
      </c>
      <c r="S56" s="6" t="s">
        <v>819</v>
      </c>
      <c r="T56" s="5"/>
    </row>
    <row r="57" spans="1:20" x14ac:dyDescent="0.25">
      <c r="A57" s="4">
        <v>434001</v>
      </c>
      <c r="C57" s="4">
        <v>0</v>
      </c>
      <c r="D57" t="s">
        <v>812</v>
      </c>
      <c r="E57" s="107" t="s">
        <v>77</v>
      </c>
      <c r="F57" s="5" t="s">
        <v>26</v>
      </c>
      <c r="G57">
        <v>1</v>
      </c>
      <c r="H57" t="s">
        <v>117</v>
      </c>
      <c r="I57">
        <v>300</v>
      </c>
      <c r="S57" t="s">
        <v>197</v>
      </c>
      <c r="T57" s="5"/>
    </row>
    <row r="58" spans="1:20" x14ac:dyDescent="0.25">
      <c r="A58" s="4">
        <v>434001</v>
      </c>
      <c r="C58" s="4">
        <v>11</v>
      </c>
      <c r="D58" t="s">
        <v>813</v>
      </c>
      <c r="F58" s="5" t="s">
        <v>21</v>
      </c>
      <c r="G58">
        <v>1</v>
      </c>
      <c r="H58" t="s">
        <v>117</v>
      </c>
      <c r="I58">
        <v>99999990</v>
      </c>
    </row>
    <row r="59" spans="1:20" x14ac:dyDescent="0.25">
      <c r="A59" s="4">
        <v>434001</v>
      </c>
      <c r="C59" s="4">
        <v>11</v>
      </c>
      <c r="D59" t="s">
        <v>814</v>
      </c>
      <c r="F59" s="5" t="s">
        <v>201</v>
      </c>
      <c r="G59">
        <v>1</v>
      </c>
      <c r="H59" t="s">
        <v>117</v>
      </c>
      <c r="I59">
        <v>300</v>
      </c>
      <c r="S59" t="s">
        <v>202</v>
      </c>
      <c r="T59" s="11"/>
    </row>
    <row r="60" spans="1:20" x14ac:dyDescent="0.25">
      <c r="A60" s="4">
        <v>434001</v>
      </c>
      <c r="C60" s="4">
        <v>15</v>
      </c>
      <c r="D60" t="s">
        <v>844</v>
      </c>
      <c r="F60" s="5" t="s">
        <v>201</v>
      </c>
      <c r="G60">
        <v>1</v>
      </c>
      <c r="H60" t="s">
        <v>117</v>
      </c>
      <c r="I60">
        <v>300</v>
      </c>
      <c r="S60" t="s">
        <v>846</v>
      </c>
      <c r="T60" s="11"/>
    </row>
    <row r="61" spans="1:20" x14ac:dyDescent="0.25">
      <c r="A61" s="4">
        <v>434001</v>
      </c>
      <c r="C61" s="4">
        <v>17</v>
      </c>
      <c r="D61" t="s">
        <v>845</v>
      </c>
      <c r="F61" s="5" t="s">
        <v>201</v>
      </c>
      <c r="G61">
        <v>1</v>
      </c>
      <c r="H61" t="s">
        <v>117</v>
      </c>
      <c r="I61">
        <v>300</v>
      </c>
      <c r="S61" t="s">
        <v>847</v>
      </c>
    </row>
  </sheetData>
  <pageMargins left="0.7" right="0.7" top="0.75" bottom="0.75" header="0.3" footer="0.3"/>
  <pageSetup paperSize="9" orientation="portrait" r:id="rId1"/>
  <rowBreaks count="1" manualBreakCount="1">
    <brk id="16" max="16383" man="1"/>
  </rowBreaks>
  <colBreaks count="1" manualBreakCount="1">
    <brk id="18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/>
  <dimension ref="A1:T31"/>
  <sheetViews>
    <sheetView zoomScale="85" zoomScaleNormal="85" workbookViewId="0">
      <selection activeCell="F11" sqref="F11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8.42578125" bestFit="1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4">
        <v>0</v>
      </c>
      <c r="D3" t="s">
        <v>159</v>
      </c>
      <c r="F3" s="5" t="s">
        <v>21</v>
      </c>
      <c r="G3">
        <v>1</v>
      </c>
      <c r="H3" t="s">
        <v>117</v>
      </c>
      <c r="I3">
        <v>99999990</v>
      </c>
      <c r="S3" s="6" t="s">
        <v>43</v>
      </c>
      <c r="T3" s="5"/>
    </row>
    <row r="4" spans="1:20" x14ac:dyDescent="0.25">
      <c r="A4" s="4">
        <v>434001</v>
      </c>
      <c r="C4" s="4">
        <v>0</v>
      </c>
      <c r="D4" t="s">
        <v>549</v>
      </c>
      <c r="F4" s="5" t="s">
        <v>458</v>
      </c>
      <c r="G4">
        <v>1</v>
      </c>
      <c r="H4" t="s">
        <v>117</v>
      </c>
      <c r="I4">
        <v>50</v>
      </c>
      <c r="R4" t="s">
        <v>678</v>
      </c>
      <c r="S4" t="s">
        <v>459</v>
      </c>
      <c r="T4" s="11"/>
    </row>
    <row r="5" spans="1:20" x14ac:dyDescent="0.25">
      <c r="A5" s="4">
        <v>434001</v>
      </c>
      <c r="C5" s="4">
        <v>1</v>
      </c>
      <c r="D5" t="s">
        <v>550</v>
      </c>
      <c r="F5" s="5" t="s">
        <v>458</v>
      </c>
      <c r="G5">
        <v>1</v>
      </c>
      <c r="H5" t="s">
        <v>117</v>
      </c>
      <c r="I5">
        <v>50</v>
      </c>
      <c r="R5" t="s">
        <v>678</v>
      </c>
      <c r="S5" t="s">
        <v>460</v>
      </c>
      <c r="T5" s="11"/>
    </row>
    <row r="6" spans="1:20" x14ac:dyDescent="0.25">
      <c r="A6" s="4">
        <v>434001</v>
      </c>
      <c r="C6" s="4">
        <v>2</v>
      </c>
      <c r="D6" t="s">
        <v>739</v>
      </c>
      <c r="F6" s="5" t="s">
        <v>458</v>
      </c>
      <c r="G6">
        <v>1</v>
      </c>
      <c r="H6" t="s">
        <v>117</v>
      </c>
      <c r="I6">
        <v>50</v>
      </c>
      <c r="R6" t="s">
        <v>678</v>
      </c>
      <c r="S6" t="s">
        <v>740</v>
      </c>
      <c r="T6" s="11"/>
    </row>
    <row r="7" spans="1:20" x14ac:dyDescent="0.25">
      <c r="A7" s="4">
        <v>434001</v>
      </c>
      <c r="C7" s="4">
        <v>4</v>
      </c>
      <c r="D7" t="s">
        <v>551</v>
      </c>
      <c r="E7" s="4" t="s">
        <v>29</v>
      </c>
      <c r="F7" s="5" t="s">
        <v>26</v>
      </c>
      <c r="G7">
        <v>1</v>
      </c>
      <c r="H7" t="s">
        <v>117</v>
      </c>
      <c r="I7">
        <v>300</v>
      </c>
      <c r="S7" s="6" t="s">
        <v>461</v>
      </c>
      <c r="T7" s="94"/>
    </row>
    <row r="8" spans="1:20" x14ac:dyDescent="0.25">
      <c r="A8" s="4">
        <v>434001</v>
      </c>
      <c r="C8" s="4">
        <v>4</v>
      </c>
      <c r="D8" t="s">
        <v>552</v>
      </c>
      <c r="E8" s="4" t="s">
        <v>25</v>
      </c>
      <c r="F8" s="5" t="s">
        <v>26</v>
      </c>
      <c r="G8">
        <v>1</v>
      </c>
      <c r="H8" t="s">
        <v>117</v>
      </c>
      <c r="I8">
        <v>300</v>
      </c>
      <c r="S8" s="6" t="s">
        <v>462</v>
      </c>
      <c r="T8" s="94"/>
    </row>
    <row r="9" spans="1:20" x14ac:dyDescent="0.25">
      <c r="A9" s="4">
        <v>434001</v>
      </c>
      <c r="C9" s="4">
        <v>4</v>
      </c>
      <c r="D9" t="s">
        <v>553</v>
      </c>
      <c r="E9" s="4" t="s">
        <v>27</v>
      </c>
      <c r="F9" s="5" t="s">
        <v>26</v>
      </c>
      <c r="G9">
        <v>1</v>
      </c>
      <c r="H9" t="s">
        <v>117</v>
      </c>
      <c r="I9">
        <v>300</v>
      </c>
      <c r="S9" s="6" t="s">
        <v>463</v>
      </c>
      <c r="T9" s="94"/>
    </row>
    <row r="10" spans="1:20" x14ac:dyDescent="0.25">
      <c r="A10" s="4">
        <v>434001</v>
      </c>
      <c r="C10" s="4">
        <v>4</v>
      </c>
      <c r="D10" t="s">
        <v>554</v>
      </c>
      <c r="E10" s="4" t="s">
        <v>35</v>
      </c>
      <c r="F10" s="5" t="s">
        <v>26</v>
      </c>
      <c r="G10">
        <v>1</v>
      </c>
      <c r="H10" t="s">
        <v>117</v>
      </c>
      <c r="I10">
        <v>300</v>
      </c>
      <c r="S10" s="6" t="s">
        <v>464</v>
      </c>
      <c r="T10" s="94"/>
    </row>
    <row r="11" spans="1:20" x14ac:dyDescent="0.25">
      <c r="A11" s="4">
        <v>434001</v>
      </c>
      <c r="C11" s="4">
        <v>4</v>
      </c>
      <c r="D11" t="s">
        <v>555</v>
      </c>
      <c r="E11" s="4" t="s">
        <v>31</v>
      </c>
      <c r="F11" s="5" t="s">
        <v>26</v>
      </c>
      <c r="G11">
        <v>1</v>
      </c>
      <c r="H11" t="s">
        <v>117</v>
      </c>
      <c r="I11">
        <v>300</v>
      </c>
      <c r="S11" s="6" t="s">
        <v>70</v>
      </c>
      <c r="T11" s="94"/>
    </row>
    <row r="12" spans="1:20" x14ac:dyDescent="0.25">
      <c r="A12" s="4">
        <v>434001</v>
      </c>
      <c r="C12" s="4">
        <v>4</v>
      </c>
      <c r="D12" t="s">
        <v>556</v>
      </c>
      <c r="E12" s="4" t="s">
        <v>33</v>
      </c>
      <c r="F12" s="5" t="s">
        <v>26</v>
      </c>
      <c r="G12">
        <v>1</v>
      </c>
      <c r="H12" t="s">
        <v>117</v>
      </c>
      <c r="I12">
        <v>300</v>
      </c>
      <c r="S12" s="6" t="s">
        <v>50</v>
      </c>
      <c r="T12" s="94"/>
    </row>
    <row r="13" spans="1:20" x14ac:dyDescent="0.25">
      <c r="A13" s="4">
        <v>434001</v>
      </c>
      <c r="C13" s="4">
        <v>4</v>
      </c>
      <c r="D13" t="s">
        <v>557</v>
      </c>
      <c r="E13" s="4" t="s">
        <v>36</v>
      </c>
      <c r="F13" s="5" t="s">
        <v>26</v>
      </c>
      <c r="G13">
        <v>1</v>
      </c>
      <c r="H13" t="s">
        <v>117</v>
      </c>
      <c r="I13">
        <v>300</v>
      </c>
      <c r="S13" s="6" t="s">
        <v>456</v>
      </c>
      <c r="T13" s="94"/>
    </row>
    <row r="14" spans="1:20" x14ac:dyDescent="0.25">
      <c r="A14" s="8">
        <v>434001</v>
      </c>
      <c r="B14" s="8"/>
      <c r="C14" s="8">
        <v>4</v>
      </c>
      <c r="D14" s="7" t="s">
        <v>742</v>
      </c>
      <c r="E14" s="8" t="s">
        <v>49</v>
      </c>
      <c r="F14" s="111" t="s">
        <v>26</v>
      </c>
      <c r="G14" s="7">
        <v>1</v>
      </c>
      <c r="H14" s="7" t="s">
        <v>117</v>
      </c>
      <c r="I14" s="7">
        <v>300</v>
      </c>
      <c r="S14" s="6" t="s">
        <v>750</v>
      </c>
      <c r="T14" s="94"/>
    </row>
    <row r="15" spans="1:20" x14ac:dyDescent="0.25">
      <c r="A15" s="4">
        <v>434001</v>
      </c>
      <c r="C15" s="4">
        <v>4</v>
      </c>
      <c r="D15" t="s">
        <v>558</v>
      </c>
      <c r="E15" s="4" t="s">
        <v>57</v>
      </c>
      <c r="F15" s="5" t="s">
        <v>26</v>
      </c>
      <c r="G15">
        <v>1</v>
      </c>
      <c r="H15" t="s">
        <v>117</v>
      </c>
      <c r="I15">
        <v>300</v>
      </c>
      <c r="S15" s="6" t="s">
        <v>470</v>
      </c>
      <c r="T15" s="94"/>
    </row>
    <row r="16" spans="1:20" x14ac:dyDescent="0.25">
      <c r="A16" s="8">
        <v>434001</v>
      </c>
      <c r="B16" s="8"/>
      <c r="C16" s="8">
        <v>4</v>
      </c>
      <c r="D16" s="7" t="s">
        <v>741</v>
      </c>
      <c r="E16" s="8" t="s">
        <v>65</v>
      </c>
      <c r="F16" s="111" t="s">
        <v>26</v>
      </c>
      <c r="G16" s="7">
        <v>1</v>
      </c>
      <c r="H16" s="7" t="s">
        <v>117</v>
      </c>
      <c r="I16" s="7">
        <v>300</v>
      </c>
      <c r="S16" s="6" t="s">
        <v>749</v>
      </c>
      <c r="T16" s="94"/>
    </row>
    <row r="17" spans="1:20" x14ac:dyDescent="0.25">
      <c r="A17" s="4">
        <v>434001</v>
      </c>
      <c r="C17" s="4">
        <v>4</v>
      </c>
      <c r="D17" t="s">
        <v>743</v>
      </c>
      <c r="E17" s="4" t="s">
        <v>54</v>
      </c>
      <c r="F17" s="5" t="s">
        <v>26</v>
      </c>
      <c r="G17">
        <v>1</v>
      </c>
      <c r="H17" t="s">
        <v>117</v>
      </c>
      <c r="I17">
        <v>300</v>
      </c>
      <c r="S17" s="6" t="s">
        <v>751</v>
      </c>
      <c r="T17" s="94"/>
    </row>
    <row r="18" spans="1:20" x14ac:dyDescent="0.25">
      <c r="A18" s="4">
        <v>434001</v>
      </c>
      <c r="C18" s="4">
        <v>4</v>
      </c>
      <c r="D18" t="s">
        <v>744</v>
      </c>
      <c r="E18" s="4" t="s">
        <v>38</v>
      </c>
      <c r="F18" s="5" t="s">
        <v>26</v>
      </c>
      <c r="G18">
        <v>1</v>
      </c>
      <c r="H18" t="s">
        <v>117</v>
      </c>
      <c r="I18">
        <v>300</v>
      </c>
      <c r="S18" s="6" t="s">
        <v>752</v>
      </c>
      <c r="T18" s="94"/>
    </row>
    <row r="19" spans="1:20" x14ac:dyDescent="0.25">
      <c r="A19" s="4">
        <v>434001</v>
      </c>
      <c r="C19" s="4">
        <v>4</v>
      </c>
      <c r="D19" t="s">
        <v>745</v>
      </c>
      <c r="E19" s="4" t="s">
        <v>77</v>
      </c>
      <c r="F19" s="5" t="s">
        <v>26</v>
      </c>
      <c r="G19">
        <v>1</v>
      </c>
      <c r="H19" t="s">
        <v>117</v>
      </c>
      <c r="I19">
        <v>300</v>
      </c>
      <c r="S19" s="6" t="s">
        <v>753</v>
      </c>
      <c r="T19" s="94"/>
    </row>
    <row r="20" spans="1:20" x14ac:dyDescent="0.25">
      <c r="A20" s="4">
        <v>434001</v>
      </c>
      <c r="C20" s="4">
        <v>4</v>
      </c>
      <c r="D20" t="s">
        <v>746</v>
      </c>
      <c r="E20" s="4" t="s">
        <v>80</v>
      </c>
      <c r="F20" s="5" t="s">
        <v>26</v>
      </c>
      <c r="G20">
        <v>1</v>
      </c>
      <c r="H20" t="s">
        <v>117</v>
      </c>
      <c r="I20">
        <v>300</v>
      </c>
      <c r="S20" s="6" t="s">
        <v>754</v>
      </c>
      <c r="T20" s="94"/>
    </row>
    <row r="21" spans="1:20" x14ac:dyDescent="0.25">
      <c r="A21" s="4">
        <v>434001</v>
      </c>
      <c r="C21" s="4">
        <v>4</v>
      </c>
      <c r="D21" t="s">
        <v>747</v>
      </c>
      <c r="E21" s="4" t="s">
        <v>72</v>
      </c>
      <c r="F21" s="5" t="s">
        <v>26</v>
      </c>
      <c r="G21">
        <v>1</v>
      </c>
      <c r="H21" t="s">
        <v>117</v>
      </c>
      <c r="I21">
        <v>300</v>
      </c>
      <c r="S21" s="6" t="s">
        <v>755</v>
      </c>
      <c r="T21" s="94"/>
    </row>
    <row r="22" spans="1:20" x14ac:dyDescent="0.25">
      <c r="A22" s="4">
        <v>434001</v>
      </c>
      <c r="C22" s="4">
        <v>4</v>
      </c>
      <c r="D22" t="s">
        <v>748</v>
      </c>
      <c r="E22" s="4" t="s">
        <v>52</v>
      </c>
      <c r="F22" s="5" t="s">
        <v>26</v>
      </c>
      <c r="G22">
        <v>1</v>
      </c>
      <c r="H22" t="s">
        <v>117</v>
      </c>
      <c r="I22">
        <v>300</v>
      </c>
      <c r="S22" s="6" t="s">
        <v>756</v>
      </c>
      <c r="T22" s="94"/>
    </row>
    <row r="23" spans="1:20" x14ac:dyDescent="0.25">
      <c r="A23" s="8">
        <v>434001</v>
      </c>
      <c r="B23" s="8"/>
      <c r="C23" s="8">
        <v>5</v>
      </c>
      <c r="D23" s="7" t="s">
        <v>560</v>
      </c>
      <c r="E23" s="8" t="s">
        <v>29</v>
      </c>
      <c r="F23" s="111" t="s">
        <v>26</v>
      </c>
      <c r="G23" s="7">
        <v>1</v>
      </c>
      <c r="H23" s="7" t="s">
        <v>117</v>
      </c>
      <c r="I23" s="7">
        <v>300</v>
      </c>
      <c r="S23" t="s">
        <v>466</v>
      </c>
      <c r="T23" s="5"/>
    </row>
    <row r="24" spans="1:20" x14ac:dyDescent="0.25">
      <c r="A24" s="8">
        <v>434001</v>
      </c>
      <c r="B24" s="8"/>
      <c r="C24" s="8">
        <v>5</v>
      </c>
      <c r="D24" s="7" t="s">
        <v>561</v>
      </c>
      <c r="E24" s="8" t="s">
        <v>25</v>
      </c>
      <c r="F24" s="111" t="s">
        <v>26</v>
      </c>
      <c r="G24" s="7">
        <v>1</v>
      </c>
      <c r="H24" s="7" t="s">
        <v>117</v>
      </c>
      <c r="I24" s="7">
        <v>300</v>
      </c>
      <c r="S24" t="s">
        <v>467</v>
      </c>
      <c r="T24" s="5"/>
    </row>
    <row r="25" spans="1:20" x14ac:dyDescent="0.25">
      <c r="A25" s="8">
        <v>434001</v>
      </c>
      <c r="B25" s="8"/>
      <c r="C25" s="8">
        <v>5</v>
      </c>
      <c r="D25" s="7" t="s">
        <v>565</v>
      </c>
      <c r="E25" s="8" t="s">
        <v>27</v>
      </c>
      <c r="F25" s="111" t="s">
        <v>26</v>
      </c>
      <c r="G25" s="7">
        <v>1</v>
      </c>
      <c r="H25" s="7" t="s">
        <v>117</v>
      </c>
      <c r="I25" s="7">
        <v>300</v>
      </c>
      <c r="S25" t="s">
        <v>562</v>
      </c>
      <c r="T25" s="5"/>
    </row>
    <row r="26" spans="1:20" x14ac:dyDescent="0.25">
      <c r="A26" s="8">
        <v>434001</v>
      </c>
      <c r="B26" s="8"/>
      <c r="C26" s="8">
        <v>5</v>
      </c>
      <c r="D26" s="7" t="s">
        <v>566</v>
      </c>
      <c r="E26" s="8" t="s">
        <v>35</v>
      </c>
      <c r="F26" s="111" t="s">
        <v>26</v>
      </c>
      <c r="G26" s="7">
        <v>1</v>
      </c>
      <c r="H26" s="7" t="s">
        <v>117</v>
      </c>
      <c r="I26" s="7">
        <v>300</v>
      </c>
      <c r="S26" t="s">
        <v>591</v>
      </c>
    </row>
    <row r="27" spans="1:20" x14ac:dyDescent="0.25">
      <c r="A27" s="8">
        <v>434001</v>
      </c>
      <c r="B27" s="8"/>
      <c r="C27" s="8">
        <v>5</v>
      </c>
      <c r="D27" s="7" t="s">
        <v>564</v>
      </c>
      <c r="E27" s="8" t="s">
        <v>31</v>
      </c>
      <c r="F27" s="111" t="s">
        <v>26</v>
      </c>
      <c r="G27" s="7">
        <v>1</v>
      </c>
      <c r="H27" s="7" t="s">
        <v>117</v>
      </c>
      <c r="I27" s="7">
        <v>300</v>
      </c>
      <c r="S27" t="s">
        <v>563</v>
      </c>
    </row>
    <row r="28" spans="1:20" x14ac:dyDescent="0.25">
      <c r="A28" s="4">
        <v>434001</v>
      </c>
      <c r="C28" s="4">
        <v>5</v>
      </c>
      <c r="D28" t="s">
        <v>757</v>
      </c>
      <c r="E28" s="4" t="s">
        <v>57</v>
      </c>
      <c r="F28" s="5" t="s">
        <v>26</v>
      </c>
      <c r="G28">
        <v>1</v>
      </c>
      <c r="H28" t="s">
        <v>117</v>
      </c>
      <c r="I28">
        <v>300</v>
      </c>
      <c r="S28" t="s">
        <v>761</v>
      </c>
      <c r="T28" s="11"/>
    </row>
    <row r="29" spans="1:20" x14ac:dyDescent="0.25">
      <c r="A29" s="4">
        <v>434001</v>
      </c>
      <c r="C29" s="4">
        <v>5</v>
      </c>
      <c r="D29" t="s">
        <v>758</v>
      </c>
      <c r="E29" s="4" t="s">
        <v>65</v>
      </c>
      <c r="F29" s="5" t="s">
        <v>26</v>
      </c>
      <c r="G29">
        <v>1</v>
      </c>
      <c r="H29" t="s">
        <v>117</v>
      </c>
      <c r="I29">
        <v>300</v>
      </c>
      <c r="S29" t="s">
        <v>762</v>
      </c>
      <c r="T29" s="11"/>
    </row>
    <row r="30" spans="1:20" x14ac:dyDescent="0.25">
      <c r="A30" s="4">
        <v>434001</v>
      </c>
      <c r="C30" s="4">
        <v>5</v>
      </c>
      <c r="D30" t="s">
        <v>821</v>
      </c>
      <c r="E30" s="4" t="s">
        <v>54</v>
      </c>
      <c r="F30" s="5" t="s">
        <v>26</v>
      </c>
      <c r="G30">
        <v>1</v>
      </c>
      <c r="H30" t="s">
        <v>117</v>
      </c>
      <c r="I30">
        <v>300</v>
      </c>
      <c r="S30" t="s">
        <v>820</v>
      </c>
      <c r="T30" s="11"/>
    </row>
    <row r="31" spans="1:20" x14ac:dyDescent="0.25">
      <c r="A31" s="4">
        <v>434001</v>
      </c>
      <c r="C31" s="4">
        <v>5</v>
      </c>
      <c r="D31" t="s">
        <v>760</v>
      </c>
      <c r="E31" s="4" t="s">
        <v>38</v>
      </c>
      <c r="F31" s="5" t="s">
        <v>26</v>
      </c>
      <c r="G31">
        <v>1</v>
      </c>
      <c r="H31" t="s">
        <v>117</v>
      </c>
      <c r="I31">
        <v>300</v>
      </c>
      <c r="S31" t="s">
        <v>60</v>
      </c>
      <c r="T31" s="11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T15"/>
  <sheetViews>
    <sheetView workbookViewId="0">
      <selection activeCell="D5" sqref="D5"/>
    </sheetView>
  </sheetViews>
  <sheetFormatPr defaultRowHeight="15" outlineLevelCol="1" x14ac:dyDescent="0.25"/>
  <cols>
    <col min="1" max="1" width="16.42578125" bestFit="1" customWidth="1"/>
    <col min="3" max="3" width="11.140625" bestFit="1" customWidth="1"/>
    <col min="4" max="4" width="16.5703125" customWidth="1"/>
    <col min="7" max="7" width="17.42578125" bestFit="1" customWidth="1"/>
    <col min="8" max="8" width="12.5703125" bestFit="1" customWidth="1"/>
    <col min="9" max="9" width="9.42578125" bestFit="1" customWidth="1"/>
    <col min="10" max="18" width="0" hidden="1" customWidth="1" outlineLevel="1"/>
    <col min="19" max="19" width="34.140625" customWidth="1" collapsed="1"/>
    <col min="20" max="20" width="13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  <row r="3" spans="1:20" x14ac:dyDescent="0.25">
      <c r="A3" s="4">
        <v>434001</v>
      </c>
      <c r="C3" s="5">
        <v>0</v>
      </c>
      <c r="D3" t="s">
        <v>20</v>
      </c>
      <c r="E3" s="5"/>
      <c r="F3" s="5" t="s">
        <v>21</v>
      </c>
      <c r="G3" s="5">
        <v>1</v>
      </c>
      <c r="H3" t="s">
        <v>117</v>
      </c>
      <c r="I3">
        <v>99999990</v>
      </c>
      <c r="S3" t="s">
        <v>43</v>
      </c>
    </row>
    <row r="4" spans="1:20" x14ac:dyDescent="0.25">
      <c r="A4" s="4">
        <v>434001</v>
      </c>
      <c r="C4" s="5">
        <v>0</v>
      </c>
      <c r="D4" t="s">
        <v>23</v>
      </c>
      <c r="E4" s="5"/>
      <c r="F4" s="5" t="s">
        <v>21</v>
      </c>
      <c r="G4" s="5">
        <v>1</v>
      </c>
      <c r="H4" t="s">
        <v>117</v>
      </c>
      <c r="I4">
        <v>99999990</v>
      </c>
      <c r="S4" t="s">
        <v>45</v>
      </c>
    </row>
    <row r="5" spans="1:20" x14ac:dyDescent="0.25">
      <c r="A5" s="4">
        <v>434001</v>
      </c>
      <c r="C5" s="5">
        <v>0</v>
      </c>
      <c r="D5" t="s">
        <v>1006</v>
      </c>
      <c r="E5" s="5"/>
      <c r="F5" s="5" t="s">
        <v>21</v>
      </c>
      <c r="G5" s="5">
        <v>1</v>
      </c>
      <c r="H5" t="s">
        <v>117</v>
      </c>
      <c r="I5" s="5">
        <v>300</v>
      </c>
      <c r="S5" t="s">
        <v>1005</v>
      </c>
    </row>
    <row r="6" spans="1:20" x14ac:dyDescent="0.25">
      <c r="A6" s="4">
        <v>434001</v>
      </c>
      <c r="C6" s="5">
        <v>0</v>
      </c>
      <c r="D6" t="s">
        <v>1007</v>
      </c>
      <c r="E6" s="5" t="s">
        <v>33</v>
      </c>
      <c r="F6" s="5" t="s">
        <v>26</v>
      </c>
      <c r="G6" s="5">
        <v>1</v>
      </c>
      <c r="H6" t="s">
        <v>117</v>
      </c>
      <c r="I6" s="5">
        <v>300</v>
      </c>
      <c r="S6" t="s">
        <v>197</v>
      </c>
    </row>
    <row r="7" spans="1:20" x14ac:dyDescent="0.25">
      <c r="A7" s="4">
        <v>434001</v>
      </c>
      <c r="C7" s="5">
        <v>0</v>
      </c>
      <c r="D7" t="s">
        <v>28</v>
      </c>
      <c r="E7" s="5" t="s">
        <v>36</v>
      </c>
      <c r="F7" s="5" t="s">
        <v>26</v>
      </c>
      <c r="G7" s="5">
        <v>1</v>
      </c>
      <c r="H7" t="s">
        <v>117</v>
      </c>
      <c r="I7" s="5">
        <v>300</v>
      </c>
      <c r="S7" t="s">
        <v>93</v>
      </c>
    </row>
    <row r="8" spans="1:20" x14ac:dyDescent="0.25">
      <c r="A8" s="4">
        <v>434001</v>
      </c>
      <c r="C8" s="5">
        <v>0</v>
      </c>
      <c r="D8" t="s">
        <v>24</v>
      </c>
      <c r="E8" s="5" t="s">
        <v>49</v>
      </c>
      <c r="F8" s="5" t="s">
        <v>26</v>
      </c>
      <c r="G8" s="5">
        <v>1</v>
      </c>
      <c r="H8" t="s">
        <v>117</v>
      </c>
      <c r="I8" s="5">
        <v>300</v>
      </c>
      <c r="S8" t="s">
        <v>92</v>
      </c>
    </row>
    <row r="9" spans="1:20" x14ac:dyDescent="0.25">
      <c r="A9" s="4">
        <v>434001</v>
      </c>
      <c r="C9" s="5">
        <v>0</v>
      </c>
      <c r="D9" t="s">
        <v>34</v>
      </c>
      <c r="E9" s="5" t="s">
        <v>57</v>
      </c>
      <c r="F9" s="5" t="s">
        <v>26</v>
      </c>
      <c r="G9" s="5">
        <v>1</v>
      </c>
      <c r="H9" t="s">
        <v>117</v>
      </c>
      <c r="I9" s="5">
        <v>300</v>
      </c>
      <c r="S9" t="s">
        <v>704</v>
      </c>
    </row>
    <row r="10" spans="1:20" x14ac:dyDescent="0.25">
      <c r="A10" s="4">
        <v>434001</v>
      </c>
      <c r="C10" s="5">
        <v>0</v>
      </c>
      <c r="D10" t="s">
        <v>30</v>
      </c>
      <c r="E10" s="5" t="s">
        <v>65</v>
      </c>
      <c r="F10" s="5" t="s">
        <v>26</v>
      </c>
      <c r="G10" s="5">
        <v>1</v>
      </c>
      <c r="H10" t="s">
        <v>117</v>
      </c>
      <c r="I10" s="5">
        <v>300</v>
      </c>
      <c r="S10" t="s">
        <v>705</v>
      </c>
    </row>
    <row r="11" spans="1:20" x14ac:dyDescent="0.25">
      <c r="A11" s="4">
        <v>434001</v>
      </c>
      <c r="C11" s="5">
        <v>0</v>
      </c>
      <c r="D11" t="s">
        <v>32</v>
      </c>
      <c r="E11" s="5" t="s">
        <v>54</v>
      </c>
      <c r="F11" s="5" t="s">
        <v>26</v>
      </c>
      <c r="G11" s="5">
        <v>1</v>
      </c>
      <c r="H11" t="s">
        <v>117</v>
      </c>
      <c r="I11" s="5">
        <v>300</v>
      </c>
      <c r="S11" t="s">
        <v>1008</v>
      </c>
    </row>
    <row r="12" spans="1:20" x14ac:dyDescent="0.25">
      <c r="A12" s="4">
        <v>434001</v>
      </c>
      <c r="C12" s="5">
        <v>0</v>
      </c>
      <c r="D12" t="s">
        <v>1009</v>
      </c>
      <c r="E12" s="105" t="s">
        <v>38</v>
      </c>
      <c r="F12" s="5" t="s">
        <v>26</v>
      </c>
      <c r="G12" s="5">
        <v>1</v>
      </c>
      <c r="H12" t="s">
        <v>117</v>
      </c>
      <c r="I12" s="5">
        <v>300</v>
      </c>
      <c r="S12" t="s">
        <v>1010</v>
      </c>
    </row>
    <row r="13" spans="1:20" x14ac:dyDescent="0.25">
      <c r="A13" s="4">
        <v>434001</v>
      </c>
      <c r="C13" s="5">
        <v>0</v>
      </c>
      <c r="D13" t="s">
        <v>640</v>
      </c>
      <c r="E13" s="105" t="s">
        <v>77</v>
      </c>
      <c r="F13" s="5" t="s">
        <v>26</v>
      </c>
      <c r="G13" s="5">
        <v>1</v>
      </c>
      <c r="H13" t="s">
        <v>117</v>
      </c>
      <c r="I13" s="5">
        <v>300</v>
      </c>
      <c r="S13" t="s">
        <v>642</v>
      </c>
    </row>
    <row r="14" spans="1:20" x14ac:dyDescent="0.25">
      <c r="A14" s="4">
        <v>434001</v>
      </c>
      <c r="C14" s="5">
        <v>0</v>
      </c>
      <c r="D14" t="s">
        <v>641</v>
      </c>
      <c r="E14" s="105" t="s">
        <v>80</v>
      </c>
      <c r="F14" s="5" t="s">
        <v>26</v>
      </c>
      <c r="G14" s="5">
        <v>1</v>
      </c>
      <c r="H14" t="s">
        <v>117</v>
      </c>
      <c r="I14" s="5">
        <v>300</v>
      </c>
      <c r="S14" t="s">
        <v>643</v>
      </c>
    </row>
    <row r="15" spans="1:20" x14ac:dyDescent="0.25">
      <c r="A15" s="4">
        <v>434001</v>
      </c>
      <c r="C15" s="5">
        <v>0</v>
      </c>
      <c r="D15" t="s">
        <v>644</v>
      </c>
      <c r="E15" s="105" t="s">
        <v>72</v>
      </c>
      <c r="F15" s="5" t="s">
        <v>26</v>
      </c>
      <c r="G15" s="5">
        <v>1</v>
      </c>
      <c r="H15" t="s">
        <v>117</v>
      </c>
      <c r="I15" s="5">
        <v>300</v>
      </c>
      <c r="S15" t="s">
        <v>645</v>
      </c>
    </row>
  </sheetData>
  <phoneticPr fontId="6" type="noConversion"/>
  <pageMargins left="0.7" right="0.7" top="0.75" bottom="0.75" header="0.3" footer="0.3"/>
  <pageSetup paperSize="9" orientation="portrait" verticalDpi="1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/>
  <dimension ref="A1:T4"/>
  <sheetViews>
    <sheetView workbookViewId="0">
      <selection activeCell="D18" sqref="D18"/>
    </sheetView>
  </sheetViews>
  <sheetFormatPr defaultRowHeight="15" x14ac:dyDescent="0.25"/>
  <cols>
    <col min="1" max="1" width="18.5703125" style="4" customWidth="1"/>
    <col min="2" max="2" width="15.42578125" style="4" customWidth="1"/>
    <col min="3" max="3" width="18.5703125" style="4" customWidth="1"/>
    <col min="4" max="4" width="20.42578125" customWidth="1"/>
    <col min="5" max="5" width="18.42578125" style="4" customWidth="1"/>
    <col min="6" max="6" width="9.5703125" bestFit="1" customWidth="1"/>
    <col min="7" max="7" width="17.42578125" bestFit="1" customWidth="1"/>
    <col min="8" max="8" width="12.5703125" bestFit="1" customWidth="1"/>
    <col min="9" max="9" width="9.42578125" bestFit="1" customWidth="1"/>
    <col min="13" max="13" width="11.85546875" customWidth="1"/>
    <col min="14" max="14" width="11.140625" bestFit="1" customWidth="1"/>
    <col min="15" max="15" width="16" bestFit="1" customWidth="1"/>
    <col min="16" max="16" width="10.5703125" bestFit="1" customWidth="1"/>
    <col min="17" max="17" width="11" bestFit="1" customWidth="1"/>
    <col min="18" max="18" width="9.42578125" bestFit="1" customWidth="1"/>
    <col min="19" max="19" width="20.5703125" style="109" bestFit="1" customWidth="1"/>
    <col min="20" max="20" width="13.140625" bestFit="1" customWidth="1"/>
  </cols>
  <sheetData>
    <row r="1" spans="1:20" x14ac:dyDescent="0.25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6"/>
      <c r="T1" s="5"/>
    </row>
    <row r="2" spans="1:20" s="3" customForma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95" t="s">
        <v>18</v>
      </c>
      <c r="T2" s="1" t="s">
        <v>19</v>
      </c>
    </row>
    <row r="3" spans="1:20" s="4" customFormat="1" x14ac:dyDescent="0.25">
      <c r="A3" s="5">
        <v>400001</v>
      </c>
      <c r="C3" s="4">
        <v>0</v>
      </c>
      <c r="D3" s="109" t="s">
        <v>487</v>
      </c>
      <c r="F3" s="4" t="s">
        <v>21</v>
      </c>
      <c r="G3" s="4">
        <v>1</v>
      </c>
      <c r="H3" s="4" t="s">
        <v>117</v>
      </c>
      <c r="I3" s="108">
        <v>99999990</v>
      </c>
      <c r="S3" s="6" t="s">
        <v>359</v>
      </c>
      <c r="T3" s="5"/>
    </row>
    <row r="4" spans="1:20" x14ac:dyDescent="0.25">
      <c r="A4" s="5">
        <v>400001</v>
      </c>
      <c r="B4" s="10"/>
      <c r="C4" s="4">
        <v>0</v>
      </c>
      <c r="D4" t="s">
        <v>492</v>
      </c>
      <c r="F4" s="4" t="s">
        <v>21</v>
      </c>
      <c r="G4" s="4">
        <v>1</v>
      </c>
      <c r="H4" s="4" t="s">
        <v>117</v>
      </c>
      <c r="I4">
        <v>99999990</v>
      </c>
      <c r="S4" t="s">
        <v>485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T2"/>
  <sheetViews>
    <sheetView zoomScale="85" zoomScaleNormal="85" workbookViewId="0">
      <selection activeCell="H8" sqref="H8"/>
    </sheetView>
  </sheetViews>
  <sheetFormatPr defaultRowHeight="15" x14ac:dyDescent="0.25"/>
  <cols>
    <col min="1" max="1" width="16.42578125" bestFit="1" customWidth="1"/>
    <col min="2" max="2" width="4.5703125" bestFit="1" customWidth="1"/>
    <col min="3" max="3" width="11.140625" bestFit="1" customWidth="1"/>
  </cols>
  <sheetData>
    <row r="2" spans="1:20" s="3" customFormat="1" x14ac:dyDescent="0.25">
      <c r="A2" s="2" t="s">
        <v>0</v>
      </c>
      <c r="B2" s="2" t="s">
        <v>1</v>
      </c>
      <c r="C2" s="2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18</v>
      </c>
      <c r="T2" s="1" t="s">
        <v>19</v>
      </c>
    </row>
  </sheetData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4:C21"/>
  <sheetViews>
    <sheetView workbookViewId="0">
      <selection activeCell="I20" sqref="I20"/>
    </sheetView>
  </sheetViews>
  <sheetFormatPr defaultRowHeight="15" x14ac:dyDescent="0.25"/>
  <cols>
    <col min="2" max="2" width="14.42578125" bestFit="1" customWidth="1"/>
  </cols>
  <sheetData>
    <row r="4" spans="2:3" x14ac:dyDescent="0.25">
      <c r="B4" s="1" t="s">
        <v>157</v>
      </c>
      <c r="C4" s="1" t="s">
        <v>156</v>
      </c>
    </row>
    <row r="5" spans="2:3" x14ac:dyDescent="0.25">
      <c r="B5" s="5" t="s">
        <v>153</v>
      </c>
      <c r="C5" s="5">
        <v>17</v>
      </c>
    </row>
    <row r="6" spans="2:3" x14ac:dyDescent="0.25">
      <c r="B6" s="5" t="s">
        <v>152</v>
      </c>
      <c r="C6" s="5">
        <v>19</v>
      </c>
    </row>
    <row r="7" spans="2:3" x14ac:dyDescent="0.25">
      <c r="B7" s="5" t="s">
        <v>154</v>
      </c>
      <c r="C7" s="5">
        <v>20</v>
      </c>
    </row>
    <row r="8" spans="2:3" x14ac:dyDescent="0.25">
      <c r="B8" s="5" t="s">
        <v>158</v>
      </c>
      <c r="C8" s="5">
        <v>21</v>
      </c>
    </row>
    <row r="9" spans="2:3" x14ac:dyDescent="0.25">
      <c r="B9" s="5" t="s">
        <v>155</v>
      </c>
      <c r="C9" s="5">
        <v>24</v>
      </c>
    </row>
    <row r="10" spans="2:3" x14ac:dyDescent="0.25">
      <c r="B10" s="5" t="s">
        <v>332</v>
      </c>
      <c r="C10" s="5">
        <v>80</v>
      </c>
    </row>
    <row r="11" spans="2:3" x14ac:dyDescent="0.25">
      <c r="B11" s="5" t="s">
        <v>333</v>
      </c>
      <c r="C11" s="5">
        <v>83</v>
      </c>
    </row>
    <row r="12" spans="2:3" x14ac:dyDescent="0.25">
      <c r="B12" s="5" t="s">
        <v>384</v>
      </c>
      <c r="C12" s="5">
        <v>84</v>
      </c>
    </row>
    <row r="13" spans="2:3" x14ac:dyDescent="0.25">
      <c r="B13" s="5" t="s">
        <v>388</v>
      </c>
      <c r="C13" s="5">
        <v>107</v>
      </c>
    </row>
    <row r="14" spans="2:3" x14ac:dyDescent="0.25">
      <c r="B14" s="5" t="s">
        <v>385</v>
      </c>
      <c r="C14" s="5">
        <v>108</v>
      </c>
    </row>
    <row r="15" spans="2:3" x14ac:dyDescent="0.25">
      <c r="B15" s="5" t="s">
        <v>543</v>
      </c>
      <c r="C15" s="5">
        <v>111</v>
      </c>
    </row>
    <row r="16" spans="2:3" x14ac:dyDescent="0.25">
      <c r="B16" s="5" t="s">
        <v>544</v>
      </c>
      <c r="C16" s="5">
        <v>112</v>
      </c>
    </row>
    <row r="17" spans="2:3" x14ac:dyDescent="0.25">
      <c r="B17" s="5" t="s">
        <v>545</v>
      </c>
      <c r="C17" s="5">
        <v>113</v>
      </c>
    </row>
    <row r="18" spans="2:3" x14ac:dyDescent="0.25">
      <c r="B18" s="5" t="s">
        <v>546</v>
      </c>
      <c r="C18" s="5">
        <v>114</v>
      </c>
    </row>
    <row r="19" spans="2:3" x14ac:dyDescent="0.25">
      <c r="B19" s="5" t="s">
        <v>547</v>
      </c>
      <c r="C19" s="5">
        <v>115</v>
      </c>
    </row>
    <row r="20" spans="2:3" x14ac:dyDescent="0.25">
      <c r="B20" s="5" t="s">
        <v>548</v>
      </c>
      <c r="C20" s="5">
        <v>116</v>
      </c>
    </row>
    <row r="21" spans="2:3" x14ac:dyDescent="0.25">
      <c r="B21" s="5" t="s">
        <v>736</v>
      </c>
      <c r="C21" s="5">
        <v>23</v>
      </c>
    </row>
  </sheetData>
  <dataValidations count="1">
    <dataValidation type="list" allowBlank="1" showInputMessage="1" showErrorMessage="1" sqref="R15">
      <formula1>"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41</vt:i4>
      </vt:variant>
      <vt:variant>
        <vt:lpstr>Именованные диапазоны</vt:lpstr>
      </vt:variant>
      <vt:variant>
        <vt:i4>1</vt:i4>
      </vt:variant>
    </vt:vector>
  </HeadingPairs>
  <TitlesOfParts>
    <vt:vector size="42" baseType="lpstr">
      <vt:lpstr>СисИП</vt:lpstr>
      <vt:lpstr>КцСис</vt:lpstr>
      <vt:lpstr>СвязьСис</vt:lpstr>
      <vt:lpstr>СвязьУстрСис</vt:lpstr>
      <vt:lpstr>УСОСис1</vt:lpstr>
      <vt:lpstr>УСОСис2</vt:lpstr>
      <vt:lpstr>PicСис1</vt:lpstr>
      <vt:lpstr>PicСис2</vt:lpstr>
      <vt:lpstr>КоммутаторСис</vt:lpstr>
      <vt:lpstr>СисДП1</vt:lpstr>
      <vt:lpstr>СисДП2</vt:lpstr>
      <vt:lpstr>СисНаЗащ</vt:lpstr>
      <vt:lpstr>СисСтанцЗащ</vt:lpstr>
      <vt:lpstr>СисПЗЗащ</vt:lpstr>
      <vt:lpstr>СисПЗГот</vt:lpstr>
      <vt:lpstr>СисНаГот</vt:lpstr>
      <vt:lpstr>НАсис</vt:lpstr>
      <vt:lpstr>НАсис2</vt:lpstr>
      <vt:lpstr>ВСПОМсис</vt:lpstr>
      <vt:lpstr>ВСПОМсис2</vt:lpstr>
      <vt:lpstr>ЗДВсис</vt:lpstr>
      <vt:lpstr>ЗДВсис2</vt:lpstr>
      <vt:lpstr>РучКардСис</vt:lpstr>
      <vt:lpstr>ТаблСиренСис</vt:lpstr>
      <vt:lpstr>ТаблСиренСис2</vt:lpstr>
      <vt:lpstr>ЗонаСис</vt:lpstr>
      <vt:lpstr>ЗонаСис2</vt:lpstr>
      <vt:lpstr>БдСис</vt:lpstr>
      <vt:lpstr>СОДсис</vt:lpstr>
      <vt:lpstr>РпзвСис</vt:lpstr>
      <vt:lpstr>РВССис</vt:lpstr>
      <vt:lpstr>РВССис2</vt:lpstr>
      <vt:lpstr>НПСсис</vt:lpstr>
      <vt:lpstr>СардДсис</vt:lpstr>
      <vt:lpstr>РДсис</vt:lpstr>
      <vt:lpstr>СардЧсис</vt:lpstr>
      <vt:lpstr>ЧРПсис</vt:lpstr>
      <vt:lpstr>ПИСис</vt:lpstr>
      <vt:lpstr>ПИСис2</vt:lpstr>
      <vt:lpstr>Системный</vt:lpstr>
      <vt:lpstr>SysID</vt:lpstr>
      <vt:lpstr>INV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lumi</dc:creator>
  <cp:lastModifiedBy>Пользователь Windows</cp:lastModifiedBy>
  <dcterms:created xsi:type="dcterms:W3CDTF">2015-08-26T09:52:18Z</dcterms:created>
  <dcterms:modified xsi:type="dcterms:W3CDTF">2020-02-14T12:39:50Z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c36c2b16-5c5a-4113-bc04-84aa12e0b35b</vt:lpwstr>
  </property>
</Properties>
</file>